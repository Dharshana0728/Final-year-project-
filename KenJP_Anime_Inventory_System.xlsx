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ne Piece" sheetId="1" state="visible" r:id="rId3"/>
    <sheet name="Dragon Ball Z" sheetId="2" state="visible" r:id="rId4"/>
    <sheet name="Naruto" sheetId="3" state="visible" r:id="rId5"/>
    <sheet name="Bleach" sheetId="4" state="visible" r:id="rId6"/>
    <sheet name="My Hero Academia" sheetId="5" state="visible" r:id="rId7"/>
    <sheet name="Overall Analytics" sheetId="6" state="visible" r:id="rId8"/>
    <sheet name="VBA &amp; Setup Guide" sheetId="7" state="visible" r:id="rId9"/>
  </sheets>
  <definedNames>
    <definedName function="false" hidden="false" localSheetId="3" name="_xlnm.Print_Area" vbProcedure="false">Bleach!$A$1:$L$75</definedName>
    <definedName function="false" hidden="false" localSheetId="1" name="_xlnm.Print_Area" vbProcedure="false">'Dragon Ball Z'!$A$1:$L$75</definedName>
    <definedName function="false" hidden="false" localSheetId="4" name="_xlnm.Print_Area" vbProcedure="false">'My Hero Academia'!$A$1:$L$75</definedName>
    <definedName function="false" hidden="false" localSheetId="2" name="_xlnm.Print_Area" vbProcedure="false">Naruto!$A$1:$L$75</definedName>
    <definedName function="false" hidden="false" localSheetId="0" name="_xlnm.Print_Area" vbProcedure="false">'One Piece'!$A$1:$L$75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<sst xmlns="http://schemas.openxmlformats.org/spreadsheetml/2006/main" count="771" uniqueCount="391">
  <si>
    <t xml:space="preserve">KEN JP ANIME FIGURES SHOP</t>
  </si>
  <si>
    <t xml:space="preserve">📦  ONE PIECE INVENTORY LOG</t>
  </si>
  <si>
    <t xml:space="preserve">Live JPY/PHP Rate:</t>
  </si>
  <si>
    <t xml:space="preserve">← Edit here</t>
  </si>
  <si>
    <t xml:space="preserve">🔍 QUICK-VIEW LOOKUP:</t>
  </si>
  <si>
    <t xml:space="preserve">← Select Product ID</t>
  </si>
  <si>
    <t xml:space="preserve">Product ID</t>
  </si>
  <si>
    <t xml:space="preserve">Date of Entry</t>
  </si>
  <si>
    <t xml:space="preserve">Transaction Month</t>
  </si>
  <si>
    <t xml:space="preserve">Purchase Price (JPY)</t>
  </si>
  <si>
    <t xml:space="preserve">Purchase Price (PHP)</t>
  </si>
  <si>
    <t xml:space="preserve">Selling Price (JPY)</t>
  </si>
  <si>
    <t xml:space="preserve">Selling Price (PHP)</t>
  </si>
  <si>
    <t xml:space="preserve">Net Profit (JPY)</t>
  </si>
  <si>
    <t xml:space="preserve">Net Profit (PHP)</t>
  </si>
  <si>
    <t xml:space="preserve">Net Loss (JPY)</t>
  </si>
  <si>
    <t xml:space="preserve">Net Loss (PHP)</t>
  </si>
  <si>
    <t xml:space="preserve">Stock Status</t>
  </si>
  <si>
    <t xml:space="preserve">OP1</t>
  </si>
  <si>
    <t xml:space="preserve">Active</t>
  </si>
  <si>
    <t xml:space="preserve">OP2</t>
  </si>
  <si>
    <t xml:space="preserve">OP3</t>
  </si>
  <si>
    <t xml:space="preserve">OP4</t>
  </si>
  <si>
    <t xml:space="preserve">OP5</t>
  </si>
  <si>
    <t xml:space="preserve">OP6</t>
  </si>
  <si>
    <t xml:space="preserve">OP7</t>
  </si>
  <si>
    <t xml:space="preserve">OP8</t>
  </si>
  <si>
    <t xml:space="preserve">OP9</t>
  </si>
  <si>
    <t xml:space="preserve">OP10</t>
  </si>
  <si>
    <t xml:space="preserve">OP11</t>
  </si>
  <si>
    <t xml:space="preserve">OP12</t>
  </si>
  <si>
    <t xml:space="preserve">OP13</t>
  </si>
  <si>
    <t xml:space="preserve">OP14</t>
  </si>
  <si>
    <t xml:space="preserve">OP15</t>
  </si>
  <si>
    <t xml:space="preserve">OP16</t>
  </si>
  <si>
    <t xml:space="preserve">OP17</t>
  </si>
  <si>
    <t xml:space="preserve">OP18</t>
  </si>
  <si>
    <t xml:space="preserve">OP19</t>
  </si>
  <si>
    <t xml:space="preserve">OP20</t>
  </si>
  <si>
    <t xml:space="preserve">OP21</t>
  </si>
  <si>
    <t xml:space="preserve">OP22</t>
  </si>
  <si>
    <t xml:space="preserve">OP23</t>
  </si>
  <si>
    <t xml:space="preserve">OP24</t>
  </si>
  <si>
    <t xml:space="preserve">OP25</t>
  </si>
  <si>
    <t xml:space="preserve">OP26</t>
  </si>
  <si>
    <t xml:space="preserve">OP27</t>
  </si>
  <si>
    <t xml:space="preserve">OP28</t>
  </si>
  <si>
    <t xml:space="preserve">OP29</t>
  </si>
  <si>
    <t xml:space="preserve">OP30</t>
  </si>
  <si>
    <t xml:space="preserve">OP31</t>
  </si>
  <si>
    <t xml:space="preserve">OP32</t>
  </si>
  <si>
    <t xml:space="preserve">OP33</t>
  </si>
  <si>
    <t xml:space="preserve">OP34</t>
  </si>
  <si>
    <t xml:space="preserve">OP35</t>
  </si>
  <si>
    <t xml:space="preserve">OP36</t>
  </si>
  <si>
    <t xml:space="preserve">OP37</t>
  </si>
  <si>
    <t xml:space="preserve">OP38</t>
  </si>
  <si>
    <t xml:space="preserve">OP39</t>
  </si>
  <si>
    <t xml:space="preserve">OP40</t>
  </si>
  <si>
    <t xml:space="preserve">OP41</t>
  </si>
  <si>
    <t xml:space="preserve">OP42</t>
  </si>
  <si>
    <t xml:space="preserve">OP43</t>
  </si>
  <si>
    <t xml:space="preserve">OP44</t>
  </si>
  <si>
    <t xml:space="preserve">OP45</t>
  </si>
  <si>
    <t xml:space="preserve">OP46</t>
  </si>
  <si>
    <t xml:space="preserve">OP47</t>
  </si>
  <si>
    <t xml:space="preserve">OP48</t>
  </si>
  <si>
    <t xml:space="preserve">OP49</t>
  </si>
  <si>
    <t xml:space="preserve">OP50</t>
  </si>
  <si>
    <t xml:space="preserve">TOTAL CATEGORY VALUE</t>
  </si>
  <si>
    <t xml:space="preserve">📋  USER GUIDE &amp; OPERATIONAL INSTRUCTIONS</t>
  </si>
  <si>
    <t xml:space="preserve">  Step 1 — DATA ENTRY</t>
  </si>
  <si>
    <t xml:space="preserve">     ONLY fill data into columns: 'Product ID' (pre-filled), 'Date of Entry' (Col B), 'Purchase Price JPY' (Col D), and 'Selling Price JPY' (Col F). Do NOT overwrite any other cells — they contain automated formulas!</t>
  </si>
  <si>
    <t xml:space="preserve">  Step 2 — AUTO DATE TRACKING</t>
  </si>
  <si>
    <t xml:space="preserve">     The system automatically reads your Date of Entry and extracts the full calendar month name in Column C behind the scenes. No manual entry needed.</t>
  </si>
  <si>
    <t xml:space="preserve">  Step 3 — AUTO CALCULATIONS</t>
  </si>
  <si>
    <t xml:space="preserve">     All PHP conversions (Cols E &amp; G), dynamic profit calculations (Cols H &amp; I), and loss flags (Cols J &amp; K) recalculate INSTANTLY whenever you enter or update data.</t>
  </si>
  <si>
    <t xml:space="preserve">  Step 4 — STOCK STATUS CONTROL</t>
  </si>
  <si>
    <t xml:space="preserve">     Use the interactive drop-down menu in Column L ('Stock Status') to switch rows between 'Active' and 'Inactive'. Setting a row to 'Inactive' instantly zeroes out its profit and loss contributions from all totals.</t>
  </si>
  <si>
    <t xml:space="preserve">  Step 5 — QUICK-VIEW LOOKUP</t>
  </si>
  <si>
    <t xml:space="preserve">     Use the 🔍 dropdown in Cell C5 to instantly surface real-time financial data for any product without scrolling. Results appear in Row 5 immediately.</t>
  </si>
  <si>
    <t xml:space="preserve">  Step 6 — EXCHANGE RATE</t>
  </si>
  <si>
    <t xml:space="preserve">     Update Cell K4 with the current JPY/PHP exchange rate. All PHP values across the entire sheet recalculate automatically. Default is 0.37.</t>
  </si>
  <si>
    <t xml:space="preserve">📦  DRAGON BALL Z INVENTORY LOG</t>
  </si>
  <si>
    <t xml:space="preserve">DBZ1</t>
  </si>
  <si>
    <t xml:space="preserve">DBZ2</t>
  </si>
  <si>
    <t xml:space="preserve">DBZ3</t>
  </si>
  <si>
    <t xml:space="preserve">DBZ4</t>
  </si>
  <si>
    <t xml:space="preserve">DBZ5</t>
  </si>
  <si>
    <t xml:space="preserve">DBZ6</t>
  </si>
  <si>
    <t xml:space="preserve">DBZ7</t>
  </si>
  <si>
    <t xml:space="preserve">DBZ8</t>
  </si>
  <si>
    <t xml:space="preserve">DBZ9</t>
  </si>
  <si>
    <t xml:space="preserve">DBZ10</t>
  </si>
  <si>
    <t xml:space="preserve">DBZ11</t>
  </si>
  <si>
    <t xml:space="preserve">DBZ12</t>
  </si>
  <si>
    <t xml:space="preserve">DBZ13</t>
  </si>
  <si>
    <t xml:space="preserve">DBZ14</t>
  </si>
  <si>
    <t xml:space="preserve">DBZ15</t>
  </si>
  <si>
    <t xml:space="preserve">DBZ16</t>
  </si>
  <si>
    <t xml:space="preserve">DBZ17</t>
  </si>
  <si>
    <t xml:space="preserve">DBZ18</t>
  </si>
  <si>
    <t xml:space="preserve">DBZ19</t>
  </si>
  <si>
    <t xml:space="preserve">DBZ20</t>
  </si>
  <si>
    <t xml:space="preserve">DBZ21</t>
  </si>
  <si>
    <t xml:space="preserve">DBZ22</t>
  </si>
  <si>
    <t xml:space="preserve">DBZ23</t>
  </si>
  <si>
    <t xml:space="preserve">DBZ24</t>
  </si>
  <si>
    <t xml:space="preserve">DBZ25</t>
  </si>
  <si>
    <t xml:space="preserve">DBZ26</t>
  </si>
  <si>
    <t xml:space="preserve">DBZ27</t>
  </si>
  <si>
    <t xml:space="preserve">DBZ28</t>
  </si>
  <si>
    <t xml:space="preserve">DBZ29</t>
  </si>
  <si>
    <t xml:space="preserve">DBZ30</t>
  </si>
  <si>
    <t xml:space="preserve">DBZ31</t>
  </si>
  <si>
    <t xml:space="preserve">DBZ32</t>
  </si>
  <si>
    <t xml:space="preserve">DBZ33</t>
  </si>
  <si>
    <t xml:space="preserve">DBZ34</t>
  </si>
  <si>
    <t xml:space="preserve">DBZ35</t>
  </si>
  <si>
    <t xml:space="preserve">DBZ36</t>
  </si>
  <si>
    <t xml:space="preserve">DBZ37</t>
  </si>
  <si>
    <t xml:space="preserve">DBZ38</t>
  </si>
  <si>
    <t xml:space="preserve">DBZ39</t>
  </si>
  <si>
    <t xml:space="preserve">DBZ40</t>
  </si>
  <si>
    <t xml:space="preserve">DBZ41</t>
  </si>
  <si>
    <t xml:space="preserve">DBZ42</t>
  </si>
  <si>
    <t xml:space="preserve">DBZ43</t>
  </si>
  <si>
    <t xml:space="preserve">DBZ44</t>
  </si>
  <si>
    <t xml:space="preserve">DBZ45</t>
  </si>
  <si>
    <t xml:space="preserve">DBZ46</t>
  </si>
  <si>
    <t xml:space="preserve">DBZ47</t>
  </si>
  <si>
    <t xml:space="preserve">DBZ48</t>
  </si>
  <si>
    <t xml:space="preserve">DBZ49</t>
  </si>
  <si>
    <t xml:space="preserve">DBZ50</t>
  </si>
  <si>
    <t xml:space="preserve">📦  NARUTO INVENTORY LOG</t>
  </si>
  <si>
    <t xml:space="preserve">NT1</t>
  </si>
  <si>
    <t xml:space="preserve">NT2</t>
  </si>
  <si>
    <t xml:space="preserve">NT3</t>
  </si>
  <si>
    <t xml:space="preserve">NT4</t>
  </si>
  <si>
    <t xml:space="preserve">NT5</t>
  </si>
  <si>
    <t xml:space="preserve">NT6</t>
  </si>
  <si>
    <t xml:space="preserve">NT7</t>
  </si>
  <si>
    <t xml:space="preserve">NT8</t>
  </si>
  <si>
    <t xml:space="preserve">NT9</t>
  </si>
  <si>
    <t xml:space="preserve">NT10</t>
  </si>
  <si>
    <t xml:space="preserve">NT11</t>
  </si>
  <si>
    <t xml:space="preserve">NT12</t>
  </si>
  <si>
    <t xml:space="preserve">NT13</t>
  </si>
  <si>
    <t xml:space="preserve">NT14</t>
  </si>
  <si>
    <t xml:space="preserve">NT15</t>
  </si>
  <si>
    <t xml:space="preserve">NT16</t>
  </si>
  <si>
    <t xml:space="preserve">NT17</t>
  </si>
  <si>
    <t xml:space="preserve">NT18</t>
  </si>
  <si>
    <t xml:space="preserve">NT19</t>
  </si>
  <si>
    <t xml:space="preserve">NT20</t>
  </si>
  <si>
    <t xml:space="preserve">NT21</t>
  </si>
  <si>
    <t xml:space="preserve">NT22</t>
  </si>
  <si>
    <t xml:space="preserve">NT23</t>
  </si>
  <si>
    <t xml:space="preserve">NT24</t>
  </si>
  <si>
    <t xml:space="preserve">NT25</t>
  </si>
  <si>
    <t xml:space="preserve">NT26</t>
  </si>
  <si>
    <t xml:space="preserve">NT27</t>
  </si>
  <si>
    <t xml:space="preserve">NT28</t>
  </si>
  <si>
    <t xml:space="preserve">NT29</t>
  </si>
  <si>
    <t xml:space="preserve">NT30</t>
  </si>
  <si>
    <t xml:space="preserve">NT31</t>
  </si>
  <si>
    <t xml:space="preserve">NT32</t>
  </si>
  <si>
    <t xml:space="preserve">NT33</t>
  </si>
  <si>
    <t xml:space="preserve">NT34</t>
  </si>
  <si>
    <t xml:space="preserve">NT35</t>
  </si>
  <si>
    <t xml:space="preserve">NT36</t>
  </si>
  <si>
    <t xml:space="preserve">NT37</t>
  </si>
  <si>
    <t xml:space="preserve">NT38</t>
  </si>
  <si>
    <t xml:space="preserve">NT39</t>
  </si>
  <si>
    <t xml:space="preserve">NT40</t>
  </si>
  <si>
    <t xml:space="preserve">NT41</t>
  </si>
  <si>
    <t xml:space="preserve">NT42</t>
  </si>
  <si>
    <t xml:space="preserve">NT43</t>
  </si>
  <si>
    <t xml:space="preserve">NT44</t>
  </si>
  <si>
    <t xml:space="preserve">NT45</t>
  </si>
  <si>
    <t xml:space="preserve">NT46</t>
  </si>
  <si>
    <t xml:space="preserve">NT47</t>
  </si>
  <si>
    <t xml:space="preserve">NT48</t>
  </si>
  <si>
    <t xml:space="preserve">NT49</t>
  </si>
  <si>
    <t xml:space="preserve">NT50</t>
  </si>
  <si>
    <t xml:space="preserve">📦  BLEACH INVENTORY LOG</t>
  </si>
  <si>
    <t xml:space="preserve">BL1</t>
  </si>
  <si>
    <t xml:space="preserve">BL2</t>
  </si>
  <si>
    <t xml:space="preserve">BL3</t>
  </si>
  <si>
    <t xml:space="preserve">BL4</t>
  </si>
  <si>
    <t xml:space="preserve">BL5</t>
  </si>
  <si>
    <t xml:space="preserve">BL6</t>
  </si>
  <si>
    <t xml:space="preserve">BL7</t>
  </si>
  <si>
    <t xml:space="preserve">BL8</t>
  </si>
  <si>
    <t xml:space="preserve">BL9</t>
  </si>
  <si>
    <t xml:space="preserve">BL10</t>
  </si>
  <si>
    <t xml:space="preserve">BL11</t>
  </si>
  <si>
    <t xml:space="preserve">BL12</t>
  </si>
  <si>
    <t xml:space="preserve">BL13</t>
  </si>
  <si>
    <t xml:space="preserve">BL14</t>
  </si>
  <si>
    <t xml:space="preserve">BL15</t>
  </si>
  <si>
    <t xml:space="preserve">BL16</t>
  </si>
  <si>
    <t xml:space="preserve">BL17</t>
  </si>
  <si>
    <t xml:space="preserve">BL18</t>
  </si>
  <si>
    <t xml:space="preserve">BL19</t>
  </si>
  <si>
    <t xml:space="preserve">BL20</t>
  </si>
  <si>
    <t xml:space="preserve">BL21</t>
  </si>
  <si>
    <t xml:space="preserve">BL22</t>
  </si>
  <si>
    <t xml:space="preserve">BL23</t>
  </si>
  <si>
    <t xml:space="preserve">BL24</t>
  </si>
  <si>
    <t xml:space="preserve">BL25</t>
  </si>
  <si>
    <t xml:space="preserve">BL26</t>
  </si>
  <si>
    <t xml:space="preserve">BL27</t>
  </si>
  <si>
    <t xml:space="preserve">BL28</t>
  </si>
  <si>
    <t xml:space="preserve">BL29</t>
  </si>
  <si>
    <t xml:space="preserve">BL30</t>
  </si>
  <si>
    <t xml:space="preserve">BL31</t>
  </si>
  <si>
    <t xml:space="preserve">BL32</t>
  </si>
  <si>
    <t xml:space="preserve">BL33</t>
  </si>
  <si>
    <t xml:space="preserve">BL34</t>
  </si>
  <si>
    <t xml:space="preserve">BL35</t>
  </si>
  <si>
    <t xml:space="preserve">BL36</t>
  </si>
  <si>
    <t xml:space="preserve">BL37</t>
  </si>
  <si>
    <t xml:space="preserve">BL38</t>
  </si>
  <si>
    <t xml:space="preserve">BL39</t>
  </si>
  <si>
    <t xml:space="preserve">BL40</t>
  </si>
  <si>
    <t xml:space="preserve">BL41</t>
  </si>
  <si>
    <t xml:space="preserve">BL42</t>
  </si>
  <si>
    <t xml:space="preserve">BL43</t>
  </si>
  <si>
    <t xml:space="preserve">BL44</t>
  </si>
  <si>
    <t xml:space="preserve">BL45</t>
  </si>
  <si>
    <t xml:space="preserve">BL46</t>
  </si>
  <si>
    <t xml:space="preserve">BL47</t>
  </si>
  <si>
    <t xml:space="preserve">BL48</t>
  </si>
  <si>
    <t xml:space="preserve">BL49</t>
  </si>
  <si>
    <t xml:space="preserve">BL50</t>
  </si>
  <si>
    <t xml:space="preserve">📦  MY HERO ACADEMIA INVENTORY LOG</t>
  </si>
  <si>
    <t xml:space="preserve">MHA1</t>
  </si>
  <si>
    <t xml:space="preserve">MHA2</t>
  </si>
  <si>
    <t xml:space="preserve">MHA3</t>
  </si>
  <si>
    <t xml:space="preserve">MHA4</t>
  </si>
  <si>
    <t xml:space="preserve">MHA5</t>
  </si>
  <si>
    <t xml:space="preserve">MHA6</t>
  </si>
  <si>
    <t xml:space="preserve">MHA7</t>
  </si>
  <si>
    <t xml:space="preserve">MHA8</t>
  </si>
  <si>
    <t xml:space="preserve">MHA9</t>
  </si>
  <si>
    <t xml:space="preserve">MHA10</t>
  </si>
  <si>
    <t xml:space="preserve">MHA11</t>
  </si>
  <si>
    <t xml:space="preserve">MHA12</t>
  </si>
  <si>
    <t xml:space="preserve">MHA13</t>
  </si>
  <si>
    <t xml:space="preserve">MHA14</t>
  </si>
  <si>
    <t xml:space="preserve">MHA15</t>
  </si>
  <si>
    <t xml:space="preserve">MHA16</t>
  </si>
  <si>
    <t xml:space="preserve">MHA17</t>
  </si>
  <si>
    <t xml:space="preserve">MHA18</t>
  </si>
  <si>
    <t xml:space="preserve">MHA19</t>
  </si>
  <si>
    <t xml:space="preserve">MHA20</t>
  </si>
  <si>
    <t xml:space="preserve">MHA21</t>
  </si>
  <si>
    <t xml:space="preserve">MHA22</t>
  </si>
  <si>
    <t xml:space="preserve">MHA23</t>
  </si>
  <si>
    <t xml:space="preserve">MHA24</t>
  </si>
  <si>
    <t xml:space="preserve">MHA25</t>
  </si>
  <si>
    <t xml:space="preserve">MHA26</t>
  </si>
  <si>
    <t xml:space="preserve">MHA27</t>
  </si>
  <si>
    <t xml:space="preserve">MHA28</t>
  </si>
  <si>
    <t xml:space="preserve">MHA29</t>
  </si>
  <si>
    <t xml:space="preserve">MHA30</t>
  </si>
  <si>
    <t xml:space="preserve">MHA31</t>
  </si>
  <si>
    <t xml:space="preserve">MHA32</t>
  </si>
  <si>
    <t xml:space="preserve">MHA33</t>
  </si>
  <si>
    <t xml:space="preserve">MHA34</t>
  </si>
  <si>
    <t xml:space="preserve">MHA35</t>
  </si>
  <si>
    <t xml:space="preserve">MHA36</t>
  </si>
  <si>
    <t xml:space="preserve">MHA37</t>
  </si>
  <si>
    <t xml:space="preserve">MHA38</t>
  </si>
  <si>
    <t xml:space="preserve">MHA39</t>
  </si>
  <si>
    <t xml:space="preserve">MHA40</t>
  </si>
  <si>
    <t xml:space="preserve">MHA41</t>
  </si>
  <si>
    <t xml:space="preserve">MHA42</t>
  </si>
  <si>
    <t xml:space="preserve">MHA43</t>
  </si>
  <si>
    <t xml:space="preserve">MHA44</t>
  </si>
  <si>
    <t xml:space="preserve">MHA45</t>
  </si>
  <si>
    <t xml:space="preserve">MHA46</t>
  </si>
  <si>
    <t xml:space="preserve">MHA47</t>
  </si>
  <si>
    <t xml:space="preserve">MHA48</t>
  </si>
  <si>
    <t xml:space="preserve">MHA49</t>
  </si>
  <si>
    <t xml:space="preserve">MHA50</t>
  </si>
  <si>
    <t xml:space="preserve">KEN JP ANIME FIGURES SHOP — EXECUTIVE ANALYTICS DASHBOARD</t>
  </si>
  <si>
    <t xml:space="preserve">📊  CONSOLIDATED KPI MATRIX — LIVE CATEGORY PERFORMANCE</t>
  </si>
  <si>
    <t xml:space="preserve">🎯  REAL-TIME BUSINESS INTELLIGENCE METRICS</t>
  </si>
  <si>
    <t xml:space="preserve">Anime Category</t>
  </si>
  <si>
    <t xml:space="preserve">Monthly Purchase Vol (JPY)</t>
  </si>
  <si>
    <t xml:space="preserve">Monthly Profit (JPY)</t>
  </si>
  <si>
    <t xml:space="preserve">Monthly Losses (JPY)</t>
  </si>
  <si>
    <t xml:space="preserve">CARD A — Overall Business Profit Margin (%)</t>
  </si>
  <si>
    <t xml:space="preserve">One Piece</t>
  </si>
  <si>
    <t xml:space="preserve">Dragon Ball Z</t>
  </si>
  <si>
    <t xml:space="preserve">Naruto</t>
  </si>
  <si>
    <t xml:space="preserve">Bleach</t>
  </si>
  <si>
    <t xml:space="preserve">Formula: Total Profit ÷ (Total Purchase + Total Profit)</t>
  </si>
  <si>
    <t xml:space="preserve">My Hero Academia</t>
  </si>
  <si>
    <t xml:space="preserve">CARD B — Top Revenue-Generating Anime Category</t>
  </si>
  <si>
    <t xml:space="preserve">OVERALL TOTALS</t>
  </si>
  <si>
    <t xml:space="preserve">📈  ADDITIONAL KPI SUMMARY</t>
  </si>
  <si>
    <t xml:space="preserve">Total Capital Deployed (JPY)</t>
  </si>
  <si>
    <t xml:space="preserve">Formula: INDEX/MATCH on MAX Monthly Profit across all categories</t>
  </si>
  <si>
    <t xml:space="preserve">Total Net Profit (JPY)</t>
  </si>
  <si>
    <t xml:space="preserve">Total Net Loss (JPY)</t>
  </si>
  <si>
    <t xml:space="preserve">Net P&amp;L (JPY)</t>
  </si>
  <si>
    <t xml:space="preserve">📊  HOW TO INSERT THE PERFORMANCE CHART — READ BEFORE BUILDING</t>
  </si>
  <si>
    <t xml:space="preserve">  1.  Select cells A5:D10 (the KPI Matrix including headers and 5 category rows — do NOT include the Totals row).</t>
  </si>
  <si>
    <t xml:space="preserve">  2.  Go to the 'Insert' tab → click 'Insert Column or Bar Chart' → choose 'Clustered Column'.</t>
  </si>
  <si>
    <t xml:space="preserve">  3.  Right-click the chart → 'Select Data' → confirm Series are: Purchase Vol (JPY), Monthly Profit (JPY), Monthly Losses (JPY).</t>
  </si>
  <si>
    <t xml:space="preserve">  4.  Click the 'Purchase Volume' bar series → Format → Fill → Solid Fill → Color: #6C757D (Cool Gray).</t>
  </si>
  <si>
    <t xml:space="preserve">  5.  Click the 'Monthly Profit' bar series → Format → Fill → Solid Fill → Color: #28A745 (Emerald Green).</t>
  </si>
  <si>
    <t xml:space="preserve">  6.  Click the 'Monthly Losses' bar series → Format → Fill → Solid Fill → Color: #DC3545 (Crimson Red).</t>
  </si>
  <si>
    <t xml:space="preserve">  7.  Click on Gridlines → press DELETE to remove all horizontal gridline clutter for a clean flat look.</t>
  </si>
  <si>
    <t xml:space="preserve">  8.  Click the Chart Border → Format → No Line. Remove the default chart box border.</t>
  </si>
  <si>
    <t xml:space="preserve">  9.  Double-click the Chart Title and type: 'Financial Performance &amp; Capital Allocation Analytics'.</t>
  </si>
  <si>
    <t xml:space="preserve">  10. Drag and resize the chart to fit approximately cells A20:J40 on this dashboard sheet.</t>
  </si>
  <si>
    <t xml:space="preserve">VBA MACRO CODE &amp; SETUP INSTRUCTIONS — KEN JP ANIME FIGURES SHOP</t>
  </si>
  <si>
    <t xml:space="preserve">SECTION 1: VBA SEARCH MACRO CODE</t>
  </si>
  <si>
    <t xml:space="preserve">Copy the code below into the VBA Editor (Alt+F11 → Insert → Module):</t>
  </si>
  <si>
    <t xml:space="preserve">Sub SearchByProductName()</t>
  </si>
  <si>
    <t xml:space="preserve">    ' ─────────────────────────────────────────────────────────────────</t>
  </si>
  <si>
    <t xml:space="preserve">    ' KEN JP ANIME FIGURES SHOP — Product Search Macro v1.0</t>
  </si>
  <si>
    <t xml:space="preserve">    ' Searches Column A of the active sheet for a Product ID match</t>
  </si>
  <si>
    <t xml:space="preserve">    Dim searchID As String</t>
  </si>
  <si>
    <t xml:space="preserve">    Dim foundCell As Range</t>
  </si>
  <si>
    <t xml:space="preserve">    Dim lastRow As Long</t>
  </si>
  <si>
    <t xml:space="preserve">    Dim ws As Worksheet</t>
  </si>
  <si>
    <t xml:space="preserve">    </t>
  </si>
  <si>
    <t xml:space="preserve">    Set ws = ActiveSheet</t>
  </si>
  <si>
    <t xml:space="preserve">    lastRow = ws.Cells(ws.Rows.Count, 1).End(xlUp).Row</t>
  </si>
  <si>
    <t xml:space="preserve">    ' ── Step 1: Show clean input dialog ──────────────────────────────</t>
  </si>
  <si>
    <t xml:space="preserve">    searchID = Application.InputBox( _</t>
  </si>
  <si>
    <t xml:space="preserve">        Prompt:="Enter Product ID to search (e.g. OP6, DBZ12, NT45):", _</t>
  </si>
  <si>
    <t xml:space="preserve">        Title:="🔍 KEN JP Anime — Product Search", _</t>
  </si>
  <si>
    <t xml:space="preserve">        Type:=2)</t>
  </si>
  <si>
    <t xml:space="preserve">    ' ── Step 2: Handle blank / cancelled input ─────────────────────</t>
  </si>
  <si>
    <t xml:space="preserve">    If searchID = "" Or searchID = "False" Then</t>
  </si>
  <si>
    <t xml:space="preserve">        MsgBox "No Product ID entered. Search cancelled." &amp; Chr(10) &amp; _</t>
  </si>
  <si>
    <t xml:space="preserve">               "Please try again and enter a valid Product ID.", _</t>
  </si>
  <si>
    <t xml:space="preserve">               vbExclamation, "Search Cancelled"</t>
  </si>
  <si>
    <t xml:space="preserve">        Exit Sub</t>
  </si>
  <si>
    <t xml:space="preserve">    End If</t>
  </si>
  <si>
    <t xml:space="preserve">    ' ── Step 3: Search Column A for exact match ────────────────────</t>
  </si>
  <si>
    <t xml:space="preserve">    Set foundCell = ws.Range("A8:A57").Find( _</t>
  </si>
  <si>
    <t xml:space="preserve">        What:=searchID, _</t>
  </si>
  <si>
    <t xml:space="preserve">        LookIn:=xlValues, _</t>
  </si>
  <si>
    <t xml:space="preserve">        LookAt:=xlWhole, _</t>
  </si>
  <si>
    <t xml:space="preserve">        MatchCase:=False)</t>
  </si>
  <si>
    <t xml:space="preserve">    ' ── Step 4: Handle result ────────────────────────────────────────</t>
  </si>
  <si>
    <t xml:space="preserve">    If Not foundCell Is Nothing Then</t>
  </si>
  <si>
    <t xml:space="preserve">        ' Product found — scroll to row and select it</t>
  </si>
  <si>
    <t xml:space="preserve">        Application.Goto Reference:=foundCell, Scroll:=True</t>
  </si>
  <si>
    <t xml:space="preserve">        foundCell.EntireRow.Select</t>
  </si>
  <si>
    <t xml:space="preserve">        MsgBox "✅ PRODUCT FOUND!" &amp; Chr(10) &amp; Chr(10) &amp; _</t>
  </si>
  <si>
    <t xml:space="preserve">               "Product ID: " &amp; foundCell.Value &amp; Chr(10) &amp; _</t>
  </si>
  <si>
    <t xml:space="preserve">               "Row: " &amp; foundCell.Row &amp; Chr(10) &amp; Chr(10) &amp; _</t>
  </si>
  <si>
    <t xml:space="preserve">               "The row has been highlighted and scrolled into view.", _</t>
  </si>
  <si>
    <t xml:space="preserve">               vbInformation, "Search Successful"</t>
  </si>
  <si>
    <t xml:space="preserve">    Else</t>
  </si>
  <si>
    <t xml:space="preserve">        ' Product not found</t>
  </si>
  <si>
    <t xml:space="preserve">        MsgBox "❌ PRODUCT NOT FOUND" &amp; Chr(10) &amp; Chr(10) &amp; _</t>
  </si>
  <si>
    <t xml:space="preserve">               "No match for: '" &amp; searchID &amp; "'" &amp; Chr(10) &amp; _</t>
  </si>
  <si>
    <t xml:space="preserve">               "Please check the ID and try again.", _</t>
  </si>
  <si>
    <t xml:space="preserve">               vbCritical, "Not Found"</t>
  </si>
  <si>
    <t xml:space="preserve">End Sub</t>
  </si>
  <si>
    <t xml:space="preserve">SECTION 2: HOW TO LINK THE SEARCH BUTTON TO THE MACRO</t>
  </si>
  <si>
    <t xml:space="preserve">Step 1: On any inventory sheet, go to Insert → Shapes → Rounded Rectangle.</t>
  </si>
  <si>
    <t xml:space="preserve">Step 2: Draw the shape in the top banner area (near Row 4-5, right side).</t>
  </si>
  <si>
    <t xml:space="preserve">Step 3: Right-click the shape → 'Format Shape' → Fill → Gradient Fill.</t>
  </si>
  <si>
    <t xml:space="preserve">Step 4: Set Gradient Stop 1 = #1B365D (Deep Navy), Stop 2 = #6C757D (Cool Gray). Direction: Linear, Angle 135°.</t>
  </si>
  <si>
    <t xml:space="preserve">Step 5: Shape Outline → No Line. Add a subtle shadow: Shadow → Outer → Offset Bottom.</t>
  </si>
  <si>
    <t xml:space="preserve">Step 6: Right-click shape → "Edit Text" → Type: 🔍 Search by Product Name. Font: Segoe UI 10pt Bold White.</t>
  </si>
  <si>
    <t xml:space="preserve">Step 7: Right-click the shape → "Assign Macro" → Select "SearchByProductName" → Click OK.</t>
  </si>
  <si>
    <t xml:space="preserve">Step 8: Click outside the shape. The button is now live — clicking it triggers the search dialog.</t>
  </si>
  <si>
    <t xml:space="preserve">SECTION 3: SAVING AS MACRO-ENABLED WORKBOOK</t>
  </si>
  <si>
    <t xml:space="preserve">CRITICAL: Save this file as .xlsm (Excel Macro-Enabled Workbook), NOT .xlsx.</t>
  </si>
  <si>
    <t xml:space="preserve">File → Save As → Choose file type: 'Excel Macro-Enabled Workbook (*.xlsm)' → Save.</t>
  </si>
  <si>
    <t xml:space="preserve">If you save as .xlsx the VBA macros will be DELETED automatically by Excel.</t>
  </si>
  <si>
    <t xml:space="preserve">SECTION 4: ENABLING MACROS ON OPEN</t>
  </si>
  <si>
    <t xml:space="preserve">When you reopen the .xlsm file, Excel shows a yellow 'Security Warning' bar.</t>
  </si>
  <si>
    <t xml:space="preserve">Click 'Enable Content' to activate the VBA macros. This is required each session.</t>
  </si>
  <si>
    <t xml:space="preserve">Alternatively: File → Options → Trust Center → Trusted Locations → Add this file's folder.</t>
  </si>
  <si>
    <t xml:space="preserve">SECTION 5: DATA VALIDATION — STOCK STATUS DROPDOWN SETUP</t>
  </si>
  <si>
    <t xml:space="preserve">The 'Active' / 'Inactive' dropdowns in Column L (Rows 8–57) are pre-configured.</t>
  </si>
  <si>
    <t xml:space="preserve">To verify or manually set up: Select L8:L57 → Data tab → Data Validation.</t>
  </si>
  <si>
    <t xml:space="preserve">Allow: List | Source: Active,Inactive | Check "Show dropdown in cell" | Click OK.</t>
  </si>
  <si>
    <t xml:space="preserve">Conditional formatting automatically applies green for Active, red for Inactive.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</si>
</sst>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0"/>
    <numFmt numFmtId="166" formatCode="dd\-mmm\-yyyy"/>
    <numFmt numFmtId="167" formatCode="#,##0"/>
    <numFmt numFmtId="168" formatCode="#,##0.00"/>
    <numFmt numFmtId="169" formatCode="@"/>
    <numFmt numFmtId="170" formatCode="0.0%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Segoe UI"/>
      <family val="0"/>
      <charset val="1"/>
    </font>
    <font>
      <b val="true"/>
      <sz val="12"/>
      <color rgb="FF212529"/>
      <name val="Segoe UI"/>
      <family val="0"/>
      <charset val="1"/>
    </font>
    <font>
      <b val="true"/>
      <sz val="10"/>
      <color rgb="FF212529"/>
      <name val="Segoe UI"/>
      <family val="0"/>
      <charset val="1"/>
    </font>
    <font>
      <b val="true"/>
      <sz val="11"/>
      <color rgb="FF1B365D"/>
      <name val="Segoe UI"/>
      <family val="0"/>
      <charset val="1"/>
    </font>
    <font>
      <i val="true"/>
      <sz val="8"/>
      <color rgb="FF888888"/>
      <name val="Segoe UI"/>
      <family val="0"/>
      <charset val="1"/>
    </font>
    <font>
      <b val="true"/>
      <sz val="9"/>
      <color rgb="FFFFFFFF"/>
      <name val="Segoe UI"/>
      <family val="0"/>
      <charset val="1"/>
    </font>
    <font>
      <i val="true"/>
      <sz val="9"/>
      <color rgb="FF555555"/>
      <name val="Segoe UI"/>
      <family val="0"/>
      <charset val="1"/>
    </font>
    <font>
      <b val="true"/>
      <sz val="9"/>
      <color rgb="FF1B365D"/>
      <name val="Segoe UI"/>
      <family val="0"/>
      <charset val="1"/>
    </font>
    <font>
      <b val="true"/>
      <sz val="10"/>
      <color rgb="FFFFFFFF"/>
      <name val="Segoe UI"/>
      <family val="0"/>
      <charset val="1"/>
    </font>
    <font>
      <b val="true"/>
      <sz val="9"/>
      <color rgb="FF212529"/>
      <name val="Segoe UI"/>
      <family val="0"/>
      <charset val="1"/>
    </font>
    <font>
      <sz val="9"/>
      <color rgb="FF0D47A1"/>
      <name val="Segoe UI"/>
      <family val="0"/>
      <charset val="1"/>
    </font>
    <font>
      <sz val="9"/>
      <color rgb="FF000000"/>
      <name val="Segoe UI"/>
      <family val="0"/>
      <charset val="1"/>
    </font>
    <font>
      <b val="true"/>
      <sz val="9"/>
      <color rgb="FF155724"/>
      <name val="Segoe UI"/>
      <family val="0"/>
      <charset val="1"/>
    </font>
    <font>
      <b val="true"/>
      <sz val="11"/>
      <color rgb="FF212529"/>
      <name val="Segoe UI"/>
      <family val="0"/>
      <charset val="1"/>
    </font>
    <font>
      <sz val="9"/>
      <color rgb="FF333333"/>
      <name val="Segoe UI"/>
      <family val="0"/>
      <charset val="1"/>
    </font>
    <font>
      <b val="true"/>
      <sz val="18"/>
      <color rgb="FFFFFFFF"/>
      <name val="Segoe UI"/>
      <family val="0"/>
      <charset val="1"/>
    </font>
    <font>
      <b val="true"/>
      <sz val="11"/>
      <color rgb="FFFFFFFF"/>
      <name val="Segoe UI"/>
      <family val="0"/>
      <charset val="1"/>
    </font>
    <font>
      <sz val="10"/>
      <color rgb="FF212529"/>
      <name val="Segoe UI"/>
      <family val="0"/>
      <charset val="1"/>
    </font>
    <font>
      <b val="true"/>
      <sz val="28"/>
      <color rgb="FF155724"/>
      <name val="Segoe UI"/>
      <family val="0"/>
      <charset val="1"/>
    </font>
    <font>
      <i val="true"/>
      <sz val="8"/>
      <color rgb="FF555555"/>
      <name val="Segoe UI"/>
      <family val="0"/>
      <charset val="1"/>
    </font>
    <font>
      <b val="true"/>
      <sz val="18"/>
      <color rgb="FF856404"/>
      <name val="Segoe UI"/>
      <family val="0"/>
      <charset val="1"/>
    </font>
    <font>
      <b val="true"/>
      <sz val="10"/>
      <color rgb="FF1B365D"/>
      <name val="Segoe UI"/>
      <family val="0"/>
      <charset val="1"/>
    </font>
    <font>
      <b val="true"/>
      <sz val="14"/>
      <color rgb="FFFFFFFF"/>
      <name val="Segoe UI"/>
      <family val="0"/>
      <charset val="1"/>
    </font>
    <font>
      <sz val="10"/>
      <color rgb="FF000080"/>
      <name val="Courier New"/>
      <family val="0"/>
      <charset val="1"/>
    </font>
    <font>
      <sz val="9"/>
      <color rgb="FF006400"/>
      <name val="Courier New"/>
      <family val="0"/>
      <charset val="1"/>
    </font>
    <font>
      <sz val="9"/>
      <color rgb="FF000080"/>
      <name val="Courier New"/>
      <family val="0"/>
      <charset val="1"/>
    </font>
    <font>
      <sz val="10"/>
      <color rgb="FF000080"/>
      <name val="Segoe UI"/>
      <family val="0"/>
      <charset val="1"/>
    </font>
    <font>
      <sz val="10"/>
      <color rgb="FFC0392B"/>
      <name val="Segoe UI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212529"/>
        <bgColor rgb="FF333333"/>
      </patternFill>
    </fill>
    <fill>
      <patternFill patternType="solid">
        <fgColor rgb="FFFFF3CD"/>
        <bgColor rgb="FFFFF9E6"/>
      </patternFill>
    </fill>
    <fill>
      <patternFill patternType="solid">
        <fgColor rgb="FF1B365D"/>
        <bgColor rgb="FF333333"/>
      </patternFill>
    </fill>
    <fill>
      <patternFill patternType="solid">
        <fgColor rgb="FFEBF5FB"/>
        <bgColor rgb="FFE8F4FD"/>
      </patternFill>
    </fill>
    <fill>
      <patternFill patternType="solid">
        <fgColor rgb="FFE8F4FD"/>
        <bgColor rgb="FFEBF5FB"/>
      </patternFill>
    </fill>
    <fill>
      <patternFill patternType="solid">
        <fgColor rgb="FFE8E8E8"/>
        <bgColor rgb="FFF2F2F2"/>
      </patternFill>
    </fill>
    <fill>
      <patternFill patternType="solid">
        <fgColor rgb="FFFFFFFF"/>
        <bgColor rgb="FFFFFDE7"/>
      </patternFill>
    </fill>
    <fill>
      <patternFill patternType="solid">
        <fgColor rgb="FFFFFDE7"/>
        <bgColor rgb="FFFFF9E6"/>
      </patternFill>
    </fill>
    <fill>
      <patternFill patternType="solid">
        <fgColor rgb="FFD4EDDA"/>
        <bgColor rgb="FFE8E8E8"/>
      </patternFill>
    </fill>
    <fill>
      <patternFill patternType="solid">
        <fgColor rgb="FFF2F2F2"/>
        <bgColor rgb="FFF5EEF8"/>
      </patternFill>
    </fill>
    <fill>
      <patternFill patternType="solid">
        <fgColor rgb="FFFFC107"/>
        <bgColor rgb="FFFF9900"/>
      </patternFill>
    </fill>
    <fill>
      <patternFill patternType="solid">
        <fgColor rgb="FFFFF9E6"/>
        <bgColor rgb="FFFEF9E7"/>
      </patternFill>
    </fill>
    <fill>
      <patternFill patternType="solid">
        <fgColor rgb="FFE8F8F5"/>
        <bgColor rgb="FFEBF5FB"/>
      </patternFill>
    </fill>
    <fill>
      <patternFill patternType="solid">
        <fgColor rgb="FFFEF9E7"/>
        <bgColor rgb="FFFFF9E6"/>
      </patternFill>
    </fill>
    <fill>
      <patternFill patternType="solid">
        <fgColor rgb="FFFDEDEC"/>
        <bgColor rgb="FFFFEBE6"/>
      </patternFill>
    </fill>
    <fill>
      <patternFill patternType="solid">
        <fgColor rgb="FFF5EEF8"/>
        <bgColor rgb="FFF2F2F2"/>
      </patternFill>
    </fill>
    <fill>
      <patternFill patternType="solid">
        <fgColor rgb="FFF0F4FF"/>
        <bgColor rgb="FFEBF5FB"/>
      </patternFill>
    </fill>
    <fill>
      <patternFill patternType="solid">
        <fgColor rgb="FFFFEBE6"/>
        <bgColor rgb="FFFDEDE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>
        <color rgb="FF1B365D"/>
      </left>
      <right style="medium">
        <color rgb="FF1B365D"/>
      </right>
      <top style="medium">
        <color rgb="FF1B365D"/>
      </top>
      <bottom style="medium">
        <color rgb="FF1B365D"/>
      </bottom>
      <diagonal/>
    </border>
    <border diagonalUp="false" diagonalDown="false">
      <left style="medium">
        <color rgb="FF1B365D"/>
      </left>
      <right/>
      <top style="medium">
        <color rgb="FF1B365D"/>
      </top>
      <bottom style="medium">
        <color rgb="FF1B365D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1B365D"/>
      </left>
      <right/>
      <top style="medium">
        <color rgb="FF1B365D"/>
      </top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5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2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1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1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1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1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5" fillId="8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7" fillId="1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1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9" fillId="1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0" fillId="1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1" fillId="1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155724"/>
      </font>
      <fill>
        <patternFill>
          <bgColor rgb="FFD4EDDA"/>
        </patternFill>
      </fill>
    </dxf>
    <dxf>
      <font>
        <b val="1"/>
        <color rgb="FF721C24"/>
      </font>
      <fill>
        <patternFill>
          <bgColor rgb="FFF8D7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9E6"/>
      <rgbColor rgb="FFFF00FF"/>
      <rgbColor rgb="FF00FFFF"/>
      <rgbColor rgb="FF721C24"/>
      <rgbColor rgb="FF006400"/>
      <rgbColor rgb="FF000080"/>
      <rgbColor rgb="FF856404"/>
      <rgbColor rgb="FF800080"/>
      <rgbColor rgb="FF008080"/>
      <rgbColor rgb="FFCCCCCC"/>
      <rgbColor rgb="FF888888"/>
      <rgbColor rgb="FFF2F2F2"/>
      <rgbColor rgb="FF993366"/>
      <rgbColor rgb="FFFFFDE7"/>
      <rgbColor rgb="FFE8F8F5"/>
      <rgbColor rgb="FF660066"/>
      <rgbColor rgb="FFFDEDEC"/>
      <rgbColor rgb="FF0066CC"/>
      <rgbColor rgb="FFE8E8E8"/>
      <rgbColor rgb="FF000080"/>
      <rgbColor rgb="FFFF00FF"/>
      <rgbColor rgb="FFFEF9E7"/>
      <rgbColor rgb="FF00FFFF"/>
      <rgbColor rgb="FF800080"/>
      <rgbColor rgb="FF800000"/>
      <rgbColor rgb="FF008080"/>
      <rgbColor rgb="FF0000FF"/>
      <rgbColor rgb="FF00CCFF"/>
      <rgbColor rgb="FFE8F4FD"/>
      <rgbColor rgb="FFD4EDDA"/>
      <rgbColor rgb="FFFFF3CD"/>
      <rgbColor rgb="FFEBF5FB"/>
      <rgbColor rgb="FFFFEBE6"/>
      <rgbColor rgb="FFF5EEF8"/>
      <rgbColor rgb="FFF8D7DA"/>
      <rgbColor rgb="FF3366FF"/>
      <rgbColor rgb="FF33CCCC"/>
      <rgbColor rgb="FF99CC00"/>
      <rgbColor rgb="FFFFC107"/>
      <rgbColor rgb="FFFF9900"/>
      <rgbColor rgb="FFFF6600"/>
      <rgbColor rgb="FF555555"/>
      <rgbColor rgb="FFF0F4FF"/>
      <rgbColor rgb="FF1B365D"/>
      <rgbColor rgb="FF339966"/>
      <rgbColor rgb="FF155724"/>
      <rgbColor rgb="FF212529"/>
      <rgbColor rgb="FFC0392B"/>
      <rgbColor rgb="FF993366"/>
      <rgbColor rgb="FF0D47A1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6"/>
    <col collapsed="false" customWidth="true" hidden="false" outlineLevel="0" max="3" min="3" style="1" width="18"/>
    <col collapsed="false" customWidth="true" hidden="false" outlineLevel="0" max="5" min="4" style="1" width="20"/>
    <col collapsed="false" customWidth="true" hidden="false" outlineLevel="0" max="7" min="6" style="1" width="18"/>
    <col collapsed="false" customWidth="true" hidden="false" outlineLevel="0" max="9" min="8" style="1" width="16"/>
    <col collapsed="false" customWidth="true" hidden="false" outlineLevel="0" max="12" min="10" style="1" width="14"/>
  </cols>
  <sheetData>
    <row r="1" customFormat="false" ht="9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30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9.7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27.75" hidden="false" customHeight="true" outlineLevel="0" collapsed="false">
      <c r="A4" s="3" t="s">
        <v>1</v>
      </c>
      <c r="B4" s="3"/>
      <c r="C4" s="3"/>
      <c r="D4" s="3"/>
      <c r="E4" s="3"/>
      <c r="F4" s="3"/>
      <c r="G4" s="3"/>
      <c r="H4" s="3"/>
      <c r="I4" s="3"/>
      <c r="J4" s="4" t="s">
        <v>2</v>
      </c>
      <c r="K4" s="5" t="n">
        <v>0.37</v>
      </c>
      <c r="L4" s="6" t="s">
        <v>3</v>
      </c>
    </row>
    <row r="5" customFormat="false" ht="31.5" hidden="false" customHeight="true" outlineLevel="0" collapsed="false">
      <c r="A5" s="7" t="s">
        <v>4</v>
      </c>
      <c r="B5" s="7"/>
      <c r="C5" s="8" t="s">
        <v>5</v>
      </c>
      <c r="D5" s="8"/>
      <c r="E5" s="9" t="str">
        <f aca="false">IFERROR(VLOOKUP(C5,A8:L57,4,0),"")</f>
        <v/>
      </c>
      <c r="F5" s="9" t="str">
        <f aca="false">IFERROR(VLOOKUP(C5,A8:L57,5,0),"")</f>
        <v/>
      </c>
      <c r="G5" s="9" t="str">
        <f aca="false">IFERROR(VLOOKUP(C5,A8:L57,6,0),"")</f>
        <v/>
      </c>
      <c r="H5" s="9" t="str">
        <f aca="false">IFERROR(VLOOKUP(C5,A8:L57,7,0),"")</f>
        <v/>
      </c>
      <c r="I5" s="9" t="str">
        <f aca="false">IFERROR(VLOOKUP(C5,A8:L57,8,0),"")</f>
        <v/>
      </c>
      <c r="J5" s="9" t="str">
        <f aca="false">IFERROR(VLOOKUP(C5,A8:L57,9,0),"")</f>
        <v/>
      </c>
      <c r="K5" s="9" t="str">
        <f aca="false">IFERROR(VLOOKUP(C5,A8:L57,10,0),"")</f>
        <v/>
      </c>
      <c r="L5" s="9" t="str">
        <f aca="false">IFERROR(VLOOKUP(C5,A8:L57,11,0),"")</f>
        <v/>
      </c>
    </row>
    <row r="6" customFormat="false" ht="9.75" hidden="false" customHeight="true" outlineLevel="0" collapsed="false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customFormat="false" ht="36" hidden="false" customHeight="true" outlineLevel="0" collapsed="false">
      <c r="A7" s="11" t="s">
        <v>6</v>
      </c>
      <c r="B7" s="11" t="s">
        <v>7</v>
      </c>
      <c r="C7" s="11" t="s">
        <v>8</v>
      </c>
      <c r="D7" s="11" t="s">
        <v>9</v>
      </c>
      <c r="E7" s="11" t="s">
        <v>10</v>
      </c>
      <c r="F7" s="11" t="s">
        <v>11</v>
      </c>
      <c r="G7" s="11" t="s">
        <v>12</v>
      </c>
      <c r="H7" s="11" t="s">
        <v>13</v>
      </c>
      <c r="I7" s="11" t="s">
        <v>14</v>
      </c>
      <c r="J7" s="11" t="s">
        <v>15</v>
      </c>
      <c r="K7" s="11" t="s">
        <v>16</v>
      </c>
      <c r="L7" s="11" t="s">
        <v>17</v>
      </c>
    </row>
    <row r="8" customFormat="false" ht="19.5" hidden="false" customHeight="true" outlineLevel="0" collapsed="false">
      <c r="A8" s="12" t="s">
        <v>18</v>
      </c>
      <c r="B8" s="13"/>
      <c r="C8" s="14" t="str">
        <f aca="false">IF(B8="","",TEXT(B8,"mmmm"))</f>
        <v/>
      </c>
      <c r="D8" s="15"/>
      <c r="E8" s="16" t="str">
        <f aca="false">IF(D8="","",D8*$K$4)</f>
        <v/>
      </c>
      <c r="F8" s="15"/>
      <c r="G8" s="16" t="str">
        <f aca="false">IF(F8="","",F8*$K$4)</f>
        <v/>
      </c>
      <c r="H8" s="17" t="n">
        <f aca="false">IF(L8="Inactive",0,IF(F8&gt;D8,F8-D8,0))</f>
        <v>0</v>
      </c>
      <c r="I8" s="16" t="n">
        <f aca="false">IF(L8="Inactive",0,IF(G8&gt;E8,G8-E8,0))</f>
        <v>0</v>
      </c>
      <c r="J8" s="17" t="n">
        <f aca="false">IF(L8="Inactive",0,IF(D8&gt;F8,D8-F8,0))</f>
        <v>0</v>
      </c>
      <c r="K8" s="16" t="n">
        <f aca="false">IF(L8="Inactive",0,IF(E8&gt;G8,E8-G8,0))</f>
        <v>0</v>
      </c>
      <c r="L8" s="18" t="s">
        <v>19</v>
      </c>
    </row>
    <row r="9" customFormat="false" ht="19.5" hidden="false" customHeight="true" outlineLevel="0" collapsed="false">
      <c r="A9" s="19" t="s">
        <v>20</v>
      </c>
      <c r="B9" s="13"/>
      <c r="C9" s="20" t="str">
        <f aca="false">IF(B9="","",TEXT(B9,"mmmm"))</f>
        <v/>
      </c>
      <c r="D9" s="15"/>
      <c r="E9" s="21" t="str">
        <f aca="false">IF(D9="","",D9*$K$4)</f>
        <v/>
      </c>
      <c r="F9" s="15"/>
      <c r="G9" s="21" t="str">
        <f aca="false">IF(F9="","",F9*$K$4)</f>
        <v/>
      </c>
      <c r="H9" s="22" t="n">
        <f aca="false">IF(L9="Inactive",0,IF(F9&gt;D9,F9-D9,0))</f>
        <v>0</v>
      </c>
      <c r="I9" s="21" t="n">
        <f aca="false">IF(L9="Inactive",0,IF(G9&gt;E9,G9-E9,0))</f>
        <v>0</v>
      </c>
      <c r="J9" s="22" t="n">
        <f aca="false">IF(L9="Inactive",0,IF(D9&gt;F9,D9-F9,0))</f>
        <v>0</v>
      </c>
      <c r="K9" s="21" t="n">
        <f aca="false">IF(L9="Inactive",0,IF(E9&gt;G9,E9-G9,0))</f>
        <v>0</v>
      </c>
      <c r="L9" s="18" t="s">
        <v>19</v>
      </c>
    </row>
    <row r="10" customFormat="false" ht="19.5" hidden="false" customHeight="true" outlineLevel="0" collapsed="false">
      <c r="A10" s="12" t="s">
        <v>21</v>
      </c>
      <c r="B10" s="13"/>
      <c r="C10" s="14" t="str">
        <f aca="false">IF(B10="","",TEXT(B10,"mmmm"))</f>
        <v/>
      </c>
      <c r="D10" s="15"/>
      <c r="E10" s="16" t="str">
        <f aca="false">IF(D10="","",D10*$K$4)</f>
        <v/>
      </c>
      <c r="F10" s="15"/>
      <c r="G10" s="16" t="str">
        <f aca="false">IF(F10="","",F10*$K$4)</f>
        <v/>
      </c>
      <c r="H10" s="17" t="n">
        <f aca="false">IF(L10="Inactive",0,IF(F10&gt;D10,F10-D10,0))</f>
        <v>0</v>
      </c>
      <c r="I10" s="16" t="n">
        <f aca="false">IF(L10="Inactive",0,IF(G10&gt;E10,G10-E10,0))</f>
        <v>0</v>
      </c>
      <c r="J10" s="17" t="n">
        <f aca="false">IF(L10="Inactive",0,IF(D10&gt;F10,D10-F10,0))</f>
        <v>0</v>
      </c>
      <c r="K10" s="16" t="n">
        <f aca="false">IF(L10="Inactive",0,IF(E10&gt;G10,E10-G10,0))</f>
        <v>0</v>
      </c>
      <c r="L10" s="18" t="s">
        <v>19</v>
      </c>
    </row>
    <row r="11" customFormat="false" ht="19.5" hidden="false" customHeight="true" outlineLevel="0" collapsed="false">
      <c r="A11" s="19" t="s">
        <v>22</v>
      </c>
      <c r="B11" s="13"/>
      <c r="C11" s="20" t="str">
        <f aca="false">IF(B11="","",TEXT(B11,"mmmm"))</f>
        <v/>
      </c>
      <c r="D11" s="15"/>
      <c r="E11" s="21" t="str">
        <f aca="false">IF(D11="","",D11*$K$4)</f>
        <v/>
      </c>
      <c r="F11" s="15"/>
      <c r="G11" s="21" t="str">
        <f aca="false">IF(F11="","",F11*$K$4)</f>
        <v/>
      </c>
      <c r="H11" s="22" t="n">
        <f aca="false">IF(L11="Inactive",0,IF(F11&gt;D11,F11-D11,0))</f>
        <v>0</v>
      </c>
      <c r="I11" s="21" t="n">
        <f aca="false">IF(L11="Inactive",0,IF(G11&gt;E11,G11-E11,0))</f>
        <v>0</v>
      </c>
      <c r="J11" s="22" t="n">
        <f aca="false">IF(L11="Inactive",0,IF(D11&gt;F11,D11-F11,0))</f>
        <v>0</v>
      </c>
      <c r="K11" s="21" t="n">
        <f aca="false">IF(L11="Inactive",0,IF(E11&gt;G11,E11-G11,0))</f>
        <v>0</v>
      </c>
      <c r="L11" s="18" t="s">
        <v>19</v>
      </c>
    </row>
    <row r="12" customFormat="false" ht="19.5" hidden="false" customHeight="true" outlineLevel="0" collapsed="false">
      <c r="A12" s="12" t="s">
        <v>23</v>
      </c>
      <c r="B12" s="13"/>
      <c r="C12" s="14" t="str">
        <f aca="false">IF(B12="","",TEXT(B12,"mmmm"))</f>
        <v/>
      </c>
      <c r="D12" s="15"/>
      <c r="E12" s="16" t="str">
        <f aca="false">IF(D12="","",D12*$K$4)</f>
        <v/>
      </c>
      <c r="F12" s="15"/>
      <c r="G12" s="16" t="str">
        <f aca="false">IF(F12="","",F12*$K$4)</f>
        <v/>
      </c>
      <c r="H12" s="17" t="n">
        <f aca="false">IF(L12="Inactive",0,IF(F12&gt;D12,F12-D12,0))</f>
        <v>0</v>
      </c>
      <c r="I12" s="16" t="n">
        <f aca="false">IF(L12="Inactive",0,IF(G12&gt;E12,G12-E12,0))</f>
        <v>0</v>
      </c>
      <c r="J12" s="17" t="n">
        <f aca="false">IF(L12="Inactive",0,IF(D12&gt;F12,D12-F12,0))</f>
        <v>0</v>
      </c>
      <c r="K12" s="16" t="n">
        <f aca="false">IF(L12="Inactive",0,IF(E12&gt;G12,E12-G12,0))</f>
        <v>0</v>
      </c>
      <c r="L12" s="18" t="s">
        <v>19</v>
      </c>
    </row>
    <row r="13" customFormat="false" ht="19.5" hidden="false" customHeight="true" outlineLevel="0" collapsed="false">
      <c r="A13" s="19" t="s">
        <v>24</v>
      </c>
      <c r="B13" s="13"/>
      <c r="C13" s="20" t="str">
        <f aca="false">IF(B13="","",TEXT(B13,"mmmm"))</f>
        <v/>
      </c>
      <c r="D13" s="15"/>
      <c r="E13" s="21" t="str">
        <f aca="false">IF(D13="","",D13*$K$4)</f>
        <v/>
      </c>
      <c r="F13" s="15"/>
      <c r="G13" s="21" t="str">
        <f aca="false">IF(F13="","",F13*$K$4)</f>
        <v/>
      </c>
      <c r="H13" s="22" t="n">
        <f aca="false">IF(L13="Inactive",0,IF(F13&gt;D13,F13-D13,0))</f>
        <v>0</v>
      </c>
      <c r="I13" s="21" t="n">
        <f aca="false">IF(L13="Inactive",0,IF(G13&gt;E13,G13-E13,0))</f>
        <v>0</v>
      </c>
      <c r="J13" s="22" t="n">
        <f aca="false">IF(L13="Inactive",0,IF(D13&gt;F13,D13-F13,0))</f>
        <v>0</v>
      </c>
      <c r="K13" s="21" t="n">
        <f aca="false">IF(L13="Inactive",0,IF(E13&gt;G13,E13-G13,0))</f>
        <v>0</v>
      </c>
      <c r="L13" s="18" t="s">
        <v>19</v>
      </c>
    </row>
    <row r="14" customFormat="false" ht="19.5" hidden="false" customHeight="true" outlineLevel="0" collapsed="false">
      <c r="A14" s="12" t="s">
        <v>25</v>
      </c>
      <c r="B14" s="13"/>
      <c r="C14" s="14" t="str">
        <f aca="false">IF(B14="","",TEXT(B14,"mmmm"))</f>
        <v/>
      </c>
      <c r="D14" s="15"/>
      <c r="E14" s="16" t="str">
        <f aca="false">IF(D14="","",D14*$K$4)</f>
        <v/>
      </c>
      <c r="F14" s="15"/>
      <c r="G14" s="16" t="str">
        <f aca="false">IF(F14="","",F14*$K$4)</f>
        <v/>
      </c>
      <c r="H14" s="17" t="n">
        <f aca="false">IF(L14="Inactive",0,IF(F14&gt;D14,F14-D14,0))</f>
        <v>0</v>
      </c>
      <c r="I14" s="16" t="n">
        <f aca="false">IF(L14="Inactive",0,IF(G14&gt;E14,G14-E14,0))</f>
        <v>0</v>
      </c>
      <c r="J14" s="17" t="n">
        <f aca="false">IF(L14="Inactive",0,IF(D14&gt;F14,D14-F14,0))</f>
        <v>0</v>
      </c>
      <c r="K14" s="16" t="n">
        <f aca="false">IF(L14="Inactive",0,IF(E14&gt;G14,E14-G14,0))</f>
        <v>0</v>
      </c>
      <c r="L14" s="18" t="s">
        <v>19</v>
      </c>
    </row>
    <row r="15" customFormat="false" ht="19.5" hidden="false" customHeight="true" outlineLevel="0" collapsed="false">
      <c r="A15" s="19" t="s">
        <v>26</v>
      </c>
      <c r="B15" s="13"/>
      <c r="C15" s="20" t="str">
        <f aca="false">IF(B15="","",TEXT(B15,"mmmm"))</f>
        <v/>
      </c>
      <c r="D15" s="15"/>
      <c r="E15" s="21" t="str">
        <f aca="false">IF(D15="","",D15*$K$4)</f>
        <v/>
      </c>
      <c r="F15" s="15"/>
      <c r="G15" s="21" t="str">
        <f aca="false">IF(F15="","",F15*$K$4)</f>
        <v/>
      </c>
      <c r="H15" s="22" t="n">
        <f aca="false">IF(L15="Inactive",0,IF(F15&gt;D15,F15-D15,0))</f>
        <v>0</v>
      </c>
      <c r="I15" s="21" t="n">
        <f aca="false">IF(L15="Inactive",0,IF(G15&gt;E15,G15-E15,0))</f>
        <v>0</v>
      </c>
      <c r="J15" s="22" t="n">
        <f aca="false">IF(L15="Inactive",0,IF(D15&gt;F15,D15-F15,0))</f>
        <v>0</v>
      </c>
      <c r="K15" s="21" t="n">
        <f aca="false">IF(L15="Inactive",0,IF(E15&gt;G15,E15-G15,0))</f>
        <v>0</v>
      </c>
      <c r="L15" s="18" t="s">
        <v>19</v>
      </c>
    </row>
    <row r="16" customFormat="false" ht="19.5" hidden="false" customHeight="true" outlineLevel="0" collapsed="false">
      <c r="A16" s="12" t="s">
        <v>27</v>
      </c>
      <c r="B16" s="13"/>
      <c r="C16" s="14" t="str">
        <f aca="false">IF(B16="","",TEXT(B16,"mmmm"))</f>
        <v/>
      </c>
      <c r="D16" s="15"/>
      <c r="E16" s="16" t="str">
        <f aca="false">IF(D16="","",D16*$K$4)</f>
        <v/>
      </c>
      <c r="F16" s="15"/>
      <c r="G16" s="16" t="str">
        <f aca="false">IF(F16="","",F16*$K$4)</f>
        <v/>
      </c>
      <c r="H16" s="17" t="n">
        <f aca="false">IF(L16="Inactive",0,IF(F16&gt;D16,F16-D16,0))</f>
        <v>0</v>
      </c>
      <c r="I16" s="16" t="n">
        <f aca="false">IF(L16="Inactive",0,IF(G16&gt;E16,G16-E16,0))</f>
        <v>0</v>
      </c>
      <c r="J16" s="17" t="n">
        <f aca="false">IF(L16="Inactive",0,IF(D16&gt;F16,D16-F16,0))</f>
        <v>0</v>
      </c>
      <c r="K16" s="16" t="n">
        <f aca="false">IF(L16="Inactive",0,IF(E16&gt;G16,E16-G16,0))</f>
        <v>0</v>
      </c>
      <c r="L16" s="18" t="s">
        <v>19</v>
      </c>
    </row>
    <row r="17" customFormat="false" ht="19.5" hidden="false" customHeight="true" outlineLevel="0" collapsed="false">
      <c r="A17" s="19" t="s">
        <v>28</v>
      </c>
      <c r="B17" s="13"/>
      <c r="C17" s="20" t="str">
        <f aca="false">IF(B17="","",TEXT(B17,"mmmm"))</f>
        <v/>
      </c>
      <c r="D17" s="15"/>
      <c r="E17" s="21" t="str">
        <f aca="false">IF(D17="","",D17*$K$4)</f>
        <v/>
      </c>
      <c r="F17" s="15"/>
      <c r="G17" s="21" t="str">
        <f aca="false">IF(F17="","",F17*$K$4)</f>
        <v/>
      </c>
      <c r="H17" s="22" t="n">
        <f aca="false">IF(L17="Inactive",0,IF(F17&gt;D17,F17-D17,0))</f>
        <v>0</v>
      </c>
      <c r="I17" s="21" t="n">
        <f aca="false">IF(L17="Inactive",0,IF(G17&gt;E17,G17-E17,0))</f>
        <v>0</v>
      </c>
      <c r="J17" s="22" t="n">
        <f aca="false">IF(L17="Inactive",0,IF(D17&gt;F17,D17-F17,0))</f>
        <v>0</v>
      </c>
      <c r="K17" s="21" t="n">
        <f aca="false">IF(L17="Inactive",0,IF(E17&gt;G17,E17-G17,0))</f>
        <v>0</v>
      </c>
      <c r="L17" s="18" t="s">
        <v>19</v>
      </c>
    </row>
    <row r="18" customFormat="false" ht="19.5" hidden="false" customHeight="true" outlineLevel="0" collapsed="false">
      <c r="A18" s="12" t="s">
        <v>29</v>
      </c>
      <c r="B18" s="13"/>
      <c r="C18" s="14" t="str">
        <f aca="false">IF(B18="","",TEXT(B18,"mmmm"))</f>
        <v/>
      </c>
      <c r="D18" s="15"/>
      <c r="E18" s="16" t="str">
        <f aca="false">IF(D18="","",D18*$K$4)</f>
        <v/>
      </c>
      <c r="F18" s="15"/>
      <c r="G18" s="16" t="str">
        <f aca="false">IF(F18="","",F18*$K$4)</f>
        <v/>
      </c>
      <c r="H18" s="17" t="n">
        <f aca="false">IF(L18="Inactive",0,IF(F18&gt;D18,F18-D18,0))</f>
        <v>0</v>
      </c>
      <c r="I18" s="16" t="n">
        <f aca="false">IF(L18="Inactive",0,IF(G18&gt;E18,G18-E18,0))</f>
        <v>0</v>
      </c>
      <c r="J18" s="17" t="n">
        <f aca="false">IF(L18="Inactive",0,IF(D18&gt;F18,D18-F18,0))</f>
        <v>0</v>
      </c>
      <c r="K18" s="16" t="n">
        <f aca="false">IF(L18="Inactive",0,IF(E18&gt;G18,E18-G18,0))</f>
        <v>0</v>
      </c>
      <c r="L18" s="18" t="s">
        <v>19</v>
      </c>
    </row>
    <row r="19" customFormat="false" ht="19.5" hidden="false" customHeight="true" outlineLevel="0" collapsed="false">
      <c r="A19" s="19" t="s">
        <v>30</v>
      </c>
      <c r="B19" s="13"/>
      <c r="C19" s="20" t="str">
        <f aca="false">IF(B19="","",TEXT(B19,"mmmm"))</f>
        <v/>
      </c>
      <c r="D19" s="15"/>
      <c r="E19" s="21" t="str">
        <f aca="false">IF(D19="","",D19*$K$4)</f>
        <v/>
      </c>
      <c r="F19" s="15"/>
      <c r="G19" s="21" t="str">
        <f aca="false">IF(F19="","",F19*$K$4)</f>
        <v/>
      </c>
      <c r="H19" s="22" t="n">
        <f aca="false">IF(L19="Inactive",0,IF(F19&gt;D19,F19-D19,0))</f>
        <v>0</v>
      </c>
      <c r="I19" s="21" t="n">
        <f aca="false">IF(L19="Inactive",0,IF(G19&gt;E19,G19-E19,0))</f>
        <v>0</v>
      </c>
      <c r="J19" s="22" t="n">
        <f aca="false">IF(L19="Inactive",0,IF(D19&gt;F19,D19-F19,0))</f>
        <v>0</v>
      </c>
      <c r="K19" s="21" t="n">
        <f aca="false">IF(L19="Inactive",0,IF(E19&gt;G19,E19-G19,0))</f>
        <v>0</v>
      </c>
      <c r="L19" s="18" t="s">
        <v>19</v>
      </c>
    </row>
    <row r="20" customFormat="false" ht="19.5" hidden="false" customHeight="true" outlineLevel="0" collapsed="false">
      <c r="A20" s="12" t="s">
        <v>31</v>
      </c>
      <c r="B20" s="13"/>
      <c r="C20" s="14" t="str">
        <f aca="false">IF(B20="","",TEXT(B20,"mmmm"))</f>
        <v/>
      </c>
      <c r="D20" s="15"/>
      <c r="E20" s="16" t="str">
        <f aca="false">IF(D20="","",D20*$K$4)</f>
        <v/>
      </c>
      <c r="F20" s="15"/>
      <c r="G20" s="16" t="str">
        <f aca="false">IF(F20="","",F20*$K$4)</f>
        <v/>
      </c>
      <c r="H20" s="17" t="n">
        <f aca="false">IF(L20="Inactive",0,IF(F20&gt;D20,F20-D20,0))</f>
        <v>0</v>
      </c>
      <c r="I20" s="16" t="n">
        <f aca="false">IF(L20="Inactive",0,IF(G20&gt;E20,G20-E20,0))</f>
        <v>0</v>
      </c>
      <c r="J20" s="17" t="n">
        <f aca="false">IF(L20="Inactive",0,IF(D20&gt;F20,D20-F20,0))</f>
        <v>0</v>
      </c>
      <c r="K20" s="16" t="n">
        <f aca="false">IF(L20="Inactive",0,IF(E20&gt;G20,E20-G20,0))</f>
        <v>0</v>
      </c>
      <c r="L20" s="18" t="s">
        <v>19</v>
      </c>
    </row>
    <row r="21" customFormat="false" ht="19.5" hidden="false" customHeight="true" outlineLevel="0" collapsed="false">
      <c r="A21" s="19" t="s">
        <v>32</v>
      </c>
      <c r="B21" s="13"/>
      <c r="C21" s="20" t="str">
        <f aca="false">IF(B21="","",TEXT(B21,"mmmm"))</f>
        <v/>
      </c>
      <c r="D21" s="15"/>
      <c r="E21" s="21" t="str">
        <f aca="false">IF(D21="","",D21*$K$4)</f>
        <v/>
      </c>
      <c r="F21" s="15"/>
      <c r="G21" s="21" t="str">
        <f aca="false">IF(F21="","",F21*$K$4)</f>
        <v/>
      </c>
      <c r="H21" s="22" t="n">
        <f aca="false">IF(L21="Inactive",0,IF(F21&gt;D21,F21-D21,0))</f>
        <v>0</v>
      </c>
      <c r="I21" s="21" t="n">
        <f aca="false">IF(L21="Inactive",0,IF(G21&gt;E21,G21-E21,0))</f>
        <v>0</v>
      </c>
      <c r="J21" s="22" t="n">
        <f aca="false">IF(L21="Inactive",0,IF(D21&gt;F21,D21-F21,0))</f>
        <v>0</v>
      </c>
      <c r="K21" s="21" t="n">
        <f aca="false">IF(L21="Inactive",0,IF(E21&gt;G21,E21-G21,0))</f>
        <v>0</v>
      </c>
      <c r="L21" s="18" t="s">
        <v>19</v>
      </c>
    </row>
    <row r="22" customFormat="false" ht="19.5" hidden="false" customHeight="true" outlineLevel="0" collapsed="false">
      <c r="A22" s="12" t="s">
        <v>33</v>
      </c>
      <c r="B22" s="13"/>
      <c r="C22" s="14" t="str">
        <f aca="false">IF(B22="","",TEXT(B22,"mmmm"))</f>
        <v/>
      </c>
      <c r="D22" s="15"/>
      <c r="E22" s="16" t="str">
        <f aca="false">IF(D22="","",D22*$K$4)</f>
        <v/>
      </c>
      <c r="F22" s="15"/>
      <c r="G22" s="16" t="str">
        <f aca="false">IF(F22="","",F22*$K$4)</f>
        <v/>
      </c>
      <c r="H22" s="17" t="n">
        <f aca="false">IF(L22="Inactive",0,IF(F22&gt;D22,F22-D22,0))</f>
        <v>0</v>
      </c>
      <c r="I22" s="16" t="n">
        <f aca="false">IF(L22="Inactive",0,IF(G22&gt;E22,G22-E22,0))</f>
        <v>0</v>
      </c>
      <c r="J22" s="17" t="n">
        <f aca="false">IF(L22="Inactive",0,IF(D22&gt;F22,D22-F22,0))</f>
        <v>0</v>
      </c>
      <c r="K22" s="16" t="n">
        <f aca="false">IF(L22="Inactive",0,IF(E22&gt;G22,E22-G22,0))</f>
        <v>0</v>
      </c>
      <c r="L22" s="18" t="s">
        <v>19</v>
      </c>
    </row>
    <row r="23" customFormat="false" ht="19.5" hidden="false" customHeight="true" outlineLevel="0" collapsed="false">
      <c r="A23" s="19" t="s">
        <v>34</v>
      </c>
      <c r="B23" s="13"/>
      <c r="C23" s="20" t="str">
        <f aca="false">IF(B23="","",TEXT(B23,"mmmm"))</f>
        <v/>
      </c>
      <c r="D23" s="15"/>
      <c r="E23" s="21" t="str">
        <f aca="false">IF(D23="","",D23*$K$4)</f>
        <v/>
      </c>
      <c r="F23" s="15"/>
      <c r="G23" s="21" t="str">
        <f aca="false">IF(F23="","",F23*$K$4)</f>
        <v/>
      </c>
      <c r="H23" s="22" t="n">
        <f aca="false">IF(L23="Inactive",0,IF(F23&gt;D23,F23-D23,0))</f>
        <v>0</v>
      </c>
      <c r="I23" s="21" t="n">
        <f aca="false">IF(L23="Inactive",0,IF(G23&gt;E23,G23-E23,0))</f>
        <v>0</v>
      </c>
      <c r="J23" s="22" t="n">
        <f aca="false">IF(L23="Inactive",0,IF(D23&gt;F23,D23-F23,0))</f>
        <v>0</v>
      </c>
      <c r="K23" s="21" t="n">
        <f aca="false">IF(L23="Inactive",0,IF(E23&gt;G23,E23-G23,0))</f>
        <v>0</v>
      </c>
      <c r="L23" s="18" t="s">
        <v>19</v>
      </c>
    </row>
    <row r="24" customFormat="false" ht="19.5" hidden="false" customHeight="true" outlineLevel="0" collapsed="false">
      <c r="A24" s="12" t="s">
        <v>35</v>
      </c>
      <c r="B24" s="13"/>
      <c r="C24" s="14" t="str">
        <f aca="false">IF(B24="","",TEXT(B24,"mmmm"))</f>
        <v/>
      </c>
      <c r="D24" s="15"/>
      <c r="E24" s="16" t="str">
        <f aca="false">IF(D24="","",D24*$K$4)</f>
        <v/>
      </c>
      <c r="F24" s="15"/>
      <c r="G24" s="16" t="str">
        <f aca="false">IF(F24="","",F24*$K$4)</f>
        <v/>
      </c>
      <c r="H24" s="17" t="n">
        <f aca="false">IF(L24="Inactive",0,IF(F24&gt;D24,F24-D24,0))</f>
        <v>0</v>
      </c>
      <c r="I24" s="16" t="n">
        <f aca="false">IF(L24="Inactive",0,IF(G24&gt;E24,G24-E24,0))</f>
        <v>0</v>
      </c>
      <c r="J24" s="17" t="n">
        <f aca="false">IF(L24="Inactive",0,IF(D24&gt;F24,D24-F24,0))</f>
        <v>0</v>
      </c>
      <c r="K24" s="16" t="n">
        <f aca="false">IF(L24="Inactive",0,IF(E24&gt;G24,E24-G24,0))</f>
        <v>0</v>
      </c>
      <c r="L24" s="18" t="s">
        <v>19</v>
      </c>
    </row>
    <row r="25" customFormat="false" ht="19.5" hidden="false" customHeight="true" outlineLevel="0" collapsed="false">
      <c r="A25" s="19" t="s">
        <v>36</v>
      </c>
      <c r="B25" s="13"/>
      <c r="C25" s="20" t="str">
        <f aca="false">IF(B25="","",TEXT(B25,"mmmm"))</f>
        <v/>
      </c>
      <c r="D25" s="15"/>
      <c r="E25" s="21" t="str">
        <f aca="false">IF(D25="","",D25*$K$4)</f>
        <v/>
      </c>
      <c r="F25" s="15"/>
      <c r="G25" s="21" t="str">
        <f aca="false">IF(F25="","",F25*$K$4)</f>
        <v/>
      </c>
      <c r="H25" s="22" t="n">
        <f aca="false">IF(L25="Inactive",0,IF(F25&gt;D25,F25-D25,0))</f>
        <v>0</v>
      </c>
      <c r="I25" s="21" t="n">
        <f aca="false">IF(L25="Inactive",0,IF(G25&gt;E25,G25-E25,0))</f>
        <v>0</v>
      </c>
      <c r="J25" s="22" t="n">
        <f aca="false">IF(L25="Inactive",0,IF(D25&gt;F25,D25-F25,0))</f>
        <v>0</v>
      </c>
      <c r="K25" s="21" t="n">
        <f aca="false">IF(L25="Inactive",0,IF(E25&gt;G25,E25-G25,0))</f>
        <v>0</v>
      </c>
      <c r="L25" s="18" t="s">
        <v>19</v>
      </c>
    </row>
    <row r="26" customFormat="false" ht="19.5" hidden="false" customHeight="true" outlineLevel="0" collapsed="false">
      <c r="A26" s="12" t="s">
        <v>37</v>
      </c>
      <c r="B26" s="13"/>
      <c r="C26" s="14" t="str">
        <f aca="false">IF(B26="","",TEXT(B26,"mmmm"))</f>
        <v/>
      </c>
      <c r="D26" s="15"/>
      <c r="E26" s="16" t="str">
        <f aca="false">IF(D26="","",D26*$K$4)</f>
        <v/>
      </c>
      <c r="F26" s="15"/>
      <c r="G26" s="16" t="str">
        <f aca="false">IF(F26="","",F26*$K$4)</f>
        <v/>
      </c>
      <c r="H26" s="17" t="n">
        <f aca="false">IF(L26="Inactive",0,IF(F26&gt;D26,F26-D26,0))</f>
        <v>0</v>
      </c>
      <c r="I26" s="16" t="n">
        <f aca="false">IF(L26="Inactive",0,IF(G26&gt;E26,G26-E26,0))</f>
        <v>0</v>
      </c>
      <c r="J26" s="17" t="n">
        <f aca="false">IF(L26="Inactive",0,IF(D26&gt;F26,D26-F26,0))</f>
        <v>0</v>
      </c>
      <c r="K26" s="16" t="n">
        <f aca="false">IF(L26="Inactive",0,IF(E26&gt;G26,E26-G26,0))</f>
        <v>0</v>
      </c>
      <c r="L26" s="18" t="s">
        <v>19</v>
      </c>
    </row>
    <row r="27" customFormat="false" ht="19.5" hidden="false" customHeight="true" outlineLevel="0" collapsed="false">
      <c r="A27" s="19" t="s">
        <v>38</v>
      </c>
      <c r="B27" s="13"/>
      <c r="C27" s="20" t="str">
        <f aca="false">IF(B27="","",TEXT(B27,"mmmm"))</f>
        <v/>
      </c>
      <c r="D27" s="15"/>
      <c r="E27" s="21" t="str">
        <f aca="false">IF(D27="","",D27*$K$4)</f>
        <v/>
      </c>
      <c r="F27" s="15"/>
      <c r="G27" s="21" t="str">
        <f aca="false">IF(F27="","",F27*$K$4)</f>
        <v/>
      </c>
      <c r="H27" s="22" t="n">
        <f aca="false">IF(L27="Inactive",0,IF(F27&gt;D27,F27-D27,0))</f>
        <v>0</v>
      </c>
      <c r="I27" s="21" t="n">
        <f aca="false">IF(L27="Inactive",0,IF(G27&gt;E27,G27-E27,0))</f>
        <v>0</v>
      </c>
      <c r="J27" s="22" t="n">
        <f aca="false">IF(L27="Inactive",0,IF(D27&gt;F27,D27-F27,0))</f>
        <v>0</v>
      </c>
      <c r="K27" s="21" t="n">
        <f aca="false">IF(L27="Inactive",0,IF(E27&gt;G27,E27-G27,0))</f>
        <v>0</v>
      </c>
      <c r="L27" s="18" t="s">
        <v>19</v>
      </c>
    </row>
    <row r="28" customFormat="false" ht="19.5" hidden="false" customHeight="true" outlineLevel="0" collapsed="false">
      <c r="A28" s="12" t="s">
        <v>39</v>
      </c>
      <c r="B28" s="13"/>
      <c r="C28" s="14" t="str">
        <f aca="false">IF(B28="","",TEXT(B28,"mmmm"))</f>
        <v/>
      </c>
      <c r="D28" s="15"/>
      <c r="E28" s="16" t="str">
        <f aca="false">IF(D28="","",D28*$K$4)</f>
        <v/>
      </c>
      <c r="F28" s="15"/>
      <c r="G28" s="16" t="str">
        <f aca="false">IF(F28="","",F28*$K$4)</f>
        <v/>
      </c>
      <c r="H28" s="17" t="n">
        <f aca="false">IF(L28="Inactive",0,IF(F28&gt;D28,F28-D28,0))</f>
        <v>0</v>
      </c>
      <c r="I28" s="16" t="n">
        <f aca="false">IF(L28="Inactive",0,IF(G28&gt;E28,G28-E28,0))</f>
        <v>0</v>
      </c>
      <c r="J28" s="17" t="n">
        <f aca="false">IF(L28="Inactive",0,IF(D28&gt;F28,D28-F28,0))</f>
        <v>0</v>
      </c>
      <c r="K28" s="16" t="n">
        <f aca="false">IF(L28="Inactive",0,IF(E28&gt;G28,E28-G28,0))</f>
        <v>0</v>
      </c>
      <c r="L28" s="18" t="s">
        <v>19</v>
      </c>
    </row>
    <row r="29" customFormat="false" ht="19.5" hidden="false" customHeight="true" outlineLevel="0" collapsed="false">
      <c r="A29" s="19" t="s">
        <v>40</v>
      </c>
      <c r="B29" s="13"/>
      <c r="C29" s="20" t="str">
        <f aca="false">IF(B29="","",TEXT(B29,"mmmm"))</f>
        <v/>
      </c>
      <c r="D29" s="15"/>
      <c r="E29" s="21" t="str">
        <f aca="false">IF(D29="","",D29*$K$4)</f>
        <v/>
      </c>
      <c r="F29" s="15"/>
      <c r="G29" s="21" t="str">
        <f aca="false">IF(F29="","",F29*$K$4)</f>
        <v/>
      </c>
      <c r="H29" s="22" t="n">
        <f aca="false">IF(L29="Inactive",0,IF(F29&gt;D29,F29-D29,0))</f>
        <v>0</v>
      </c>
      <c r="I29" s="21" t="n">
        <f aca="false">IF(L29="Inactive",0,IF(G29&gt;E29,G29-E29,0))</f>
        <v>0</v>
      </c>
      <c r="J29" s="22" t="n">
        <f aca="false">IF(L29="Inactive",0,IF(D29&gt;F29,D29-F29,0))</f>
        <v>0</v>
      </c>
      <c r="K29" s="21" t="n">
        <f aca="false">IF(L29="Inactive",0,IF(E29&gt;G29,E29-G29,0))</f>
        <v>0</v>
      </c>
      <c r="L29" s="18" t="s">
        <v>19</v>
      </c>
    </row>
    <row r="30" customFormat="false" ht="19.5" hidden="false" customHeight="true" outlineLevel="0" collapsed="false">
      <c r="A30" s="12" t="s">
        <v>41</v>
      </c>
      <c r="B30" s="13"/>
      <c r="C30" s="14" t="str">
        <f aca="false">IF(B30="","",TEXT(B30,"mmmm"))</f>
        <v/>
      </c>
      <c r="D30" s="15"/>
      <c r="E30" s="16" t="str">
        <f aca="false">IF(D30="","",D30*$K$4)</f>
        <v/>
      </c>
      <c r="F30" s="15"/>
      <c r="G30" s="16" t="str">
        <f aca="false">IF(F30="","",F30*$K$4)</f>
        <v/>
      </c>
      <c r="H30" s="17" t="n">
        <f aca="false">IF(L30="Inactive",0,IF(F30&gt;D30,F30-D30,0))</f>
        <v>0</v>
      </c>
      <c r="I30" s="16" t="n">
        <f aca="false">IF(L30="Inactive",0,IF(G30&gt;E30,G30-E30,0))</f>
        <v>0</v>
      </c>
      <c r="J30" s="17" t="n">
        <f aca="false">IF(L30="Inactive",0,IF(D30&gt;F30,D30-F30,0))</f>
        <v>0</v>
      </c>
      <c r="K30" s="16" t="n">
        <f aca="false">IF(L30="Inactive",0,IF(E30&gt;G30,E30-G30,0))</f>
        <v>0</v>
      </c>
      <c r="L30" s="18" t="s">
        <v>19</v>
      </c>
    </row>
    <row r="31" customFormat="false" ht="19.5" hidden="false" customHeight="true" outlineLevel="0" collapsed="false">
      <c r="A31" s="19" t="s">
        <v>42</v>
      </c>
      <c r="B31" s="13"/>
      <c r="C31" s="20" t="str">
        <f aca="false">IF(B31="","",TEXT(B31,"mmmm"))</f>
        <v/>
      </c>
      <c r="D31" s="15"/>
      <c r="E31" s="21" t="str">
        <f aca="false">IF(D31="","",D31*$K$4)</f>
        <v/>
      </c>
      <c r="F31" s="15"/>
      <c r="G31" s="21" t="str">
        <f aca="false">IF(F31="","",F31*$K$4)</f>
        <v/>
      </c>
      <c r="H31" s="22" t="n">
        <f aca="false">IF(L31="Inactive",0,IF(F31&gt;D31,F31-D31,0))</f>
        <v>0</v>
      </c>
      <c r="I31" s="21" t="n">
        <f aca="false">IF(L31="Inactive",0,IF(G31&gt;E31,G31-E31,0))</f>
        <v>0</v>
      </c>
      <c r="J31" s="22" t="n">
        <f aca="false">IF(L31="Inactive",0,IF(D31&gt;F31,D31-F31,0))</f>
        <v>0</v>
      </c>
      <c r="K31" s="21" t="n">
        <f aca="false">IF(L31="Inactive",0,IF(E31&gt;G31,E31-G31,0))</f>
        <v>0</v>
      </c>
      <c r="L31" s="18" t="s">
        <v>19</v>
      </c>
    </row>
    <row r="32" customFormat="false" ht="19.5" hidden="false" customHeight="true" outlineLevel="0" collapsed="false">
      <c r="A32" s="12" t="s">
        <v>43</v>
      </c>
      <c r="B32" s="13"/>
      <c r="C32" s="14" t="str">
        <f aca="false">IF(B32="","",TEXT(B32,"mmmm"))</f>
        <v/>
      </c>
      <c r="D32" s="15"/>
      <c r="E32" s="16" t="str">
        <f aca="false">IF(D32="","",D32*$K$4)</f>
        <v/>
      </c>
      <c r="F32" s="15"/>
      <c r="G32" s="16" t="str">
        <f aca="false">IF(F32="","",F32*$K$4)</f>
        <v/>
      </c>
      <c r="H32" s="17" t="n">
        <f aca="false">IF(L32="Inactive",0,IF(F32&gt;D32,F32-D32,0))</f>
        <v>0</v>
      </c>
      <c r="I32" s="16" t="n">
        <f aca="false">IF(L32="Inactive",0,IF(G32&gt;E32,G32-E32,0))</f>
        <v>0</v>
      </c>
      <c r="J32" s="17" t="n">
        <f aca="false">IF(L32="Inactive",0,IF(D32&gt;F32,D32-F32,0))</f>
        <v>0</v>
      </c>
      <c r="K32" s="16" t="n">
        <f aca="false">IF(L32="Inactive",0,IF(E32&gt;G32,E32-G32,0))</f>
        <v>0</v>
      </c>
      <c r="L32" s="18" t="s">
        <v>19</v>
      </c>
    </row>
    <row r="33" customFormat="false" ht="19.5" hidden="false" customHeight="true" outlineLevel="0" collapsed="false">
      <c r="A33" s="19" t="s">
        <v>44</v>
      </c>
      <c r="B33" s="13"/>
      <c r="C33" s="20" t="str">
        <f aca="false">IF(B33="","",TEXT(B33,"mmmm"))</f>
        <v/>
      </c>
      <c r="D33" s="15"/>
      <c r="E33" s="21" t="str">
        <f aca="false">IF(D33="","",D33*$K$4)</f>
        <v/>
      </c>
      <c r="F33" s="15"/>
      <c r="G33" s="21" t="str">
        <f aca="false">IF(F33="","",F33*$K$4)</f>
        <v/>
      </c>
      <c r="H33" s="22" t="n">
        <f aca="false">IF(L33="Inactive",0,IF(F33&gt;D33,F33-D33,0))</f>
        <v>0</v>
      </c>
      <c r="I33" s="21" t="n">
        <f aca="false">IF(L33="Inactive",0,IF(G33&gt;E33,G33-E33,0))</f>
        <v>0</v>
      </c>
      <c r="J33" s="22" t="n">
        <f aca="false">IF(L33="Inactive",0,IF(D33&gt;F33,D33-F33,0))</f>
        <v>0</v>
      </c>
      <c r="K33" s="21" t="n">
        <f aca="false">IF(L33="Inactive",0,IF(E33&gt;G33,E33-G33,0))</f>
        <v>0</v>
      </c>
      <c r="L33" s="18" t="s">
        <v>19</v>
      </c>
    </row>
    <row r="34" customFormat="false" ht="19.5" hidden="false" customHeight="true" outlineLevel="0" collapsed="false">
      <c r="A34" s="12" t="s">
        <v>45</v>
      </c>
      <c r="B34" s="13"/>
      <c r="C34" s="14" t="str">
        <f aca="false">IF(B34="","",TEXT(B34,"mmmm"))</f>
        <v/>
      </c>
      <c r="D34" s="15"/>
      <c r="E34" s="16" t="str">
        <f aca="false">IF(D34="","",D34*$K$4)</f>
        <v/>
      </c>
      <c r="F34" s="15"/>
      <c r="G34" s="16" t="str">
        <f aca="false">IF(F34="","",F34*$K$4)</f>
        <v/>
      </c>
      <c r="H34" s="17" t="n">
        <f aca="false">IF(L34="Inactive",0,IF(F34&gt;D34,F34-D34,0))</f>
        <v>0</v>
      </c>
      <c r="I34" s="16" t="n">
        <f aca="false">IF(L34="Inactive",0,IF(G34&gt;E34,G34-E34,0))</f>
        <v>0</v>
      </c>
      <c r="J34" s="17" t="n">
        <f aca="false">IF(L34="Inactive",0,IF(D34&gt;F34,D34-F34,0))</f>
        <v>0</v>
      </c>
      <c r="K34" s="16" t="n">
        <f aca="false">IF(L34="Inactive",0,IF(E34&gt;G34,E34-G34,0))</f>
        <v>0</v>
      </c>
      <c r="L34" s="18" t="s">
        <v>19</v>
      </c>
    </row>
    <row r="35" customFormat="false" ht="19.5" hidden="false" customHeight="true" outlineLevel="0" collapsed="false">
      <c r="A35" s="19" t="s">
        <v>46</v>
      </c>
      <c r="B35" s="13"/>
      <c r="C35" s="20" t="str">
        <f aca="false">IF(B35="","",TEXT(B35,"mmmm"))</f>
        <v/>
      </c>
      <c r="D35" s="15"/>
      <c r="E35" s="21" t="str">
        <f aca="false">IF(D35="","",D35*$K$4)</f>
        <v/>
      </c>
      <c r="F35" s="15"/>
      <c r="G35" s="21" t="str">
        <f aca="false">IF(F35="","",F35*$K$4)</f>
        <v/>
      </c>
      <c r="H35" s="22" t="n">
        <f aca="false">IF(L35="Inactive",0,IF(F35&gt;D35,F35-D35,0))</f>
        <v>0</v>
      </c>
      <c r="I35" s="21" t="n">
        <f aca="false">IF(L35="Inactive",0,IF(G35&gt;E35,G35-E35,0))</f>
        <v>0</v>
      </c>
      <c r="J35" s="22" t="n">
        <f aca="false">IF(L35="Inactive",0,IF(D35&gt;F35,D35-F35,0))</f>
        <v>0</v>
      </c>
      <c r="K35" s="21" t="n">
        <f aca="false">IF(L35="Inactive",0,IF(E35&gt;G35,E35-G35,0))</f>
        <v>0</v>
      </c>
      <c r="L35" s="18" t="s">
        <v>19</v>
      </c>
    </row>
    <row r="36" customFormat="false" ht="19.5" hidden="false" customHeight="true" outlineLevel="0" collapsed="false">
      <c r="A36" s="12" t="s">
        <v>47</v>
      </c>
      <c r="B36" s="13"/>
      <c r="C36" s="14" t="str">
        <f aca="false">IF(B36="","",TEXT(B36,"mmmm"))</f>
        <v/>
      </c>
      <c r="D36" s="15"/>
      <c r="E36" s="16" t="str">
        <f aca="false">IF(D36="","",D36*$K$4)</f>
        <v/>
      </c>
      <c r="F36" s="15"/>
      <c r="G36" s="16" t="str">
        <f aca="false">IF(F36="","",F36*$K$4)</f>
        <v/>
      </c>
      <c r="H36" s="17" t="n">
        <f aca="false">IF(L36="Inactive",0,IF(F36&gt;D36,F36-D36,0))</f>
        <v>0</v>
      </c>
      <c r="I36" s="16" t="n">
        <f aca="false">IF(L36="Inactive",0,IF(G36&gt;E36,G36-E36,0))</f>
        <v>0</v>
      </c>
      <c r="J36" s="17" t="n">
        <f aca="false">IF(L36="Inactive",0,IF(D36&gt;F36,D36-F36,0))</f>
        <v>0</v>
      </c>
      <c r="K36" s="16" t="n">
        <f aca="false">IF(L36="Inactive",0,IF(E36&gt;G36,E36-G36,0))</f>
        <v>0</v>
      </c>
      <c r="L36" s="18" t="s">
        <v>19</v>
      </c>
    </row>
    <row r="37" customFormat="false" ht="19.5" hidden="false" customHeight="true" outlineLevel="0" collapsed="false">
      <c r="A37" s="19" t="s">
        <v>48</v>
      </c>
      <c r="B37" s="13"/>
      <c r="C37" s="20" t="str">
        <f aca="false">IF(B37="","",TEXT(B37,"mmmm"))</f>
        <v/>
      </c>
      <c r="D37" s="15"/>
      <c r="E37" s="21" t="str">
        <f aca="false">IF(D37="","",D37*$K$4)</f>
        <v/>
      </c>
      <c r="F37" s="15"/>
      <c r="G37" s="21" t="str">
        <f aca="false">IF(F37="","",F37*$K$4)</f>
        <v/>
      </c>
      <c r="H37" s="22" t="n">
        <f aca="false">IF(L37="Inactive",0,IF(F37&gt;D37,F37-D37,0))</f>
        <v>0</v>
      </c>
      <c r="I37" s="21" t="n">
        <f aca="false">IF(L37="Inactive",0,IF(G37&gt;E37,G37-E37,0))</f>
        <v>0</v>
      </c>
      <c r="J37" s="22" t="n">
        <f aca="false">IF(L37="Inactive",0,IF(D37&gt;F37,D37-F37,0))</f>
        <v>0</v>
      </c>
      <c r="K37" s="21" t="n">
        <f aca="false">IF(L37="Inactive",0,IF(E37&gt;G37,E37-G37,0))</f>
        <v>0</v>
      </c>
      <c r="L37" s="18" t="s">
        <v>19</v>
      </c>
    </row>
    <row r="38" customFormat="false" ht="19.5" hidden="false" customHeight="true" outlineLevel="0" collapsed="false">
      <c r="A38" s="12" t="s">
        <v>49</v>
      </c>
      <c r="B38" s="13"/>
      <c r="C38" s="14" t="str">
        <f aca="false">IF(B38="","",TEXT(B38,"mmmm"))</f>
        <v/>
      </c>
      <c r="D38" s="15"/>
      <c r="E38" s="16" t="str">
        <f aca="false">IF(D38="","",D38*$K$4)</f>
        <v/>
      </c>
      <c r="F38" s="15"/>
      <c r="G38" s="16" t="str">
        <f aca="false">IF(F38="","",F38*$K$4)</f>
        <v/>
      </c>
      <c r="H38" s="17" t="n">
        <f aca="false">IF(L38="Inactive",0,IF(F38&gt;D38,F38-D38,0))</f>
        <v>0</v>
      </c>
      <c r="I38" s="16" t="n">
        <f aca="false">IF(L38="Inactive",0,IF(G38&gt;E38,G38-E38,0))</f>
        <v>0</v>
      </c>
      <c r="J38" s="17" t="n">
        <f aca="false">IF(L38="Inactive",0,IF(D38&gt;F38,D38-F38,0))</f>
        <v>0</v>
      </c>
      <c r="K38" s="16" t="n">
        <f aca="false">IF(L38="Inactive",0,IF(E38&gt;G38,E38-G38,0))</f>
        <v>0</v>
      </c>
      <c r="L38" s="18" t="s">
        <v>19</v>
      </c>
    </row>
    <row r="39" customFormat="false" ht="19.5" hidden="false" customHeight="true" outlineLevel="0" collapsed="false">
      <c r="A39" s="19" t="s">
        <v>50</v>
      </c>
      <c r="B39" s="13"/>
      <c r="C39" s="20" t="str">
        <f aca="false">IF(B39="","",TEXT(B39,"mmmm"))</f>
        <v/>
      </c>
      <c r="D39" s="15"/>
      <c r="E39" s="21" t="str">
        <f aca="false">IF(D39="","",D39*$K$4)</f>
        <v/>
      </c>
      <c r="F39" s="15"/>
      <c r="G39" s="21" t="str">
        <f aca="false">IF(F39="","",F39*$K$4)</f>
        <v/>
      </c>
      <c r="H39" s="22" t="n">
        <f aca="false">IF(L39="Inactive",0,IF(F39&gt;D39,F39-D39,0))</f>
        <v>0</v>
      </c>
      <c r="I39" s="21" t="n">
        <f aca="false">IF(L39="Inactive",0,IF(G39&gt;E39,G39-E39,0))</f>
        <v>0</v>
      </c>
      <c r="J39" s="22" t="n">
        <f aca="false">IF(L39="Inactive",0,IF(D39&gt;F39,D39-F39,0))</f>
        <v>0</v>
      </c>
      <c r="K39" s="21" t="n">
        <f aca="false">IF(L39="Inactive",0,IF(E39&gt;G39,E39-G39,0))</f>
        <v>0</v>
      </c>
      <c r="L39" s="18" t="s">
        <v>19</v>
      </c>
    </row>
    <row r="40" customFormat="false" ht="19.5" hidden="false" customHeight="true" outlineLevel="0" collapsed="false">
      <c r="A40" s="12" t="s">
        <v>51</v>
      </c>
      <c r="B40" s="13"/>
      <c r="C40" s="14" t="str">
        <f aca="false">IF(B40="","",TEXT(B40,"mmmm"))</f>
        <v/>
      </c>
      <c r="D40" s="15"/>
      <c r="E40" s="16" t="str">
        <f aca="false">IF(D40="","",D40*$K$4)</f>
        <v/>
      </c>
      <c r="F40" s="15"/>
      <c r="G40" s="16" t="str">
        <f aca="false">IF(F40="","",F40*$K$4)</f>
        <v/>
      </c>
      <c r="H40" s="17" t="n">
        <f aca="false">IF(L40="Inactive",0,IF(F40&gt;D40,F40-D40,0))</f>
        <v>0</v>
      </c>
      <c r="I40" s="16" t="n">
        <f aca="false">IF(L40="Inactive",0,IF(G40&gt;E40,G40-E40,0))</f>
        <v>0</v>
      </c>
      <c r="J40" s="17" t="n">
        <f aca="false">IF(L40="Inactive",0,IF(D40&gt;F40,D40-F40,0))</f>
        <v>0</v>
      </c>
      <c r="K40" s="16" t="n">
        <f aca="false">IF(L40="Inactive",0,IF(E40&gt;G40,E40-G40,0))</f>
        <v>0</v>
      </c>
      <c r="L40" s="18" t="s">
        <v>19</v>
      </c>
    </row>
    <row r="41" customFormat="false" ht="19.5" hidden="false" customHeight="true" outlineLevel="0" collapsed="false">
      <c r="A41" s="19" t="s">
        <v>52</v>
      </c>
      <c r="B41" s="13"/>
      <c r="C41" s="20" t="str">
        <f aca="false">IF(B41="","",TEXT(B41,"mmmm"))</f>
        <v/>
      </c>
      <c r="D41" s="15"/>
      <c r="E41" s="21" t="str">
        <f aca="false">IF(D41="","",D41*$K$4)</f>
        <v/>
      </c>
      <c r="F41" s="15"/>
      <c r="G41" s="21" t="str">
        <f aca="false">IF(F41="","",F41*$K$4)</f>
        <v/>
      </c>
      <c r="H41" s="22" t="n">
        <f aca="false">IF(L41="Inactive",0,IF(F41&gt;D41,F41-D41,0))</f>
        <v>0</v>
      </c>
      <c r="I41" s="21" t="n">
        <f aca="false">IF(L41="Inactive",0,IF(G41&gt;E41,G41-E41,0))</f>
        <v>0</v>
      </c>
      <c r="J41" s="22" t="n">
        <f aca="false">IF(L41="Inactive",0,IF(D41&gt;F41,D41-F41,0))</f>
        <v>0</v>
      </c>
      <c r="K41" s="21" t="n">
        <f aca="false">IF(L41="Inactive",0,IF(E41&gt;G41,E41-G41,0))</f>
        <v>0</v>
      </c>
      <c r="L41" s="18" t="s">
        <v>19</v>
      </c>
    </row>
    <row r="42" customFormat="false" ht="19.5" hidden="false" customHeight="true" outlineLevel="0" collapsed="false">
      <c r="A42" s="12" t="s">
        <v>53</v>
      </c>
      <c r="B42" s="13"/>
      <c r="C42" s="14" t="str">
        <f aca="false">IF(B42="","",TEXT(B42,"mmmm"))</f>
        <v/>
      </c>
      <c r="D42" s="15"/>
      <c r="E42" s="16" t="str">
        <f aca="false">IF(D42="","",D42*$K$4)</f>
        <v/>
      </c>
      <c r="F42" s="15"/>
      <c r="G42" s="16" t="str">
        <f aca="false">IF(F42="","",F42*$K$4)</f>
        <v/>
      </c>
      <c r="H42" s="17" t="n">
        <f aca="false">IF(L42="Inactive",0,IF(F42&gt;D42,F42-D42,0))</f>
        <v>0</v>
      </c>
      <c r="I42" s="16" t="n">
        <f aca="false">IF(L42="Inactive",0,IF(G42&gt;E42,G42-E42,0))</f>
        <v>0</v>
      </c>
      <c r="J42" s="17" t="n">
        <f aca="false">IF(L42="Inactive",0,IF(D42&gt;F42,D42-F42,0))</f>
        <v>0</v>
      </c>
      <c r="K42" s="16" t="n">
        <f aca="false">IF(L42="Inactive",0,IF(E42&gt;G42,E42-G42,0))</f>
        <v>0</v>
      </c>
      <c r="L42" s="18" t="s">
        <v>19</v>
      </c>
    </row>
    <row r="43" customFormat="false" ht="19.5" hidden="false" customHeight="true" outlineLevel="0" collapsed="false">
      <c r="A43" s="19" t="s">
        <v>54</v>
      </c>
      <c r="B43" s="13"/>
      <c r="C43" s="20" t="str">
        <f aca="false">IF(B43="","",TEXT(B43,"mmmm"))</f>
        <v/>
      </c>
      <c r="D43" s="15"/>
      <c r="E43" s="21" t="str">
        <f aca="false">IF(D43="","",D43*$K$4)</f>
        <v/>
      </c>
      <c r="F43" s="15"/>
      <c r="G43" s="21" t="str">
        <f aca="false">IF(F43="","",F43*$K$4)</f>
        <v/>
      </c>
      <c r="H43" s="22" t="n">
        <f aca="false">IF(L43="Inactive",0,IF(F43&gt;D43,F43-D43,0))</f>
        <v>0</v>
      </c>
      <c r="I43" s="21" t="n">
        <f aca="false">IF(L43="Inactive",0,IF(G43&gt;E43,G43-E43,0))</f>
        <v>0</v>
      </c>
      <c r="J43" s="22" t="n">
        <f aca="false">IF(L43="Inactive",0,IF(D43&gt;F43,D43-F43,0))</f>
        <v>0</v>
      </c>
      <c r="K43" s="21" t="n">
        <f aca="false">IF(L43="Inactive",0,IF(E43&gt;G43,E43-G43,0))</f>
        <v>0</v>
      </c>
      <c r="L43" s="18" t="s">
        <v>19</v>
      </c>
    </row>
    <row r="44" customFormat="false" ht="19.5" hidden="false" customHeight="true" outlineLevel="0" collapsed="false">
      <c r="A44" s="12" t="s">
        <v>55</v>
      </c>
      <c r="B44" s="13"/>
      <c r="C44" s="14" t="str">
        <f aca="false">IF(B44="","",TEXT(B44,"mmmm"))</f>
        <v/>
      </c>
      <c r="D44" s="15"/>
      <c r="E44" s="16" t="str">
        <f aca="false">IF(D44="","",D44*$K$4)</f>
        <v/>
      </c>
      <c r="F44" s="15"/>
      <c r="G44" s="16" t="str">
        <f aca="false">IF(F44="","",F44*$K$4)</f>
        <v/>
      </c>
      <c r="H44" s="17" t="n">
        <f aca="false">IF(L44="Inactive",0,IF(F44&gt;D44,F44-D44,0))</f>
        <v>0</v>
      </c>
      <c r="I44" s="16" t="n">
        <f aca="false">IF(L44="Inactive",0,IF(G44&gt;E44,G44-E44,0))</f>
        <v>0</v>
      </c>
      <c r="J44" s="17" t="n">
        <f aca="false">IF(L44="Inactive",0,IF(D44&gt;F44,D44-F44,0))</f>
        <v>0</v>
      </c>
      <c r="K44" s="16" t="n">
        <f aca="false">IF(L44="Inactive",0,IF(E44&gt;G44,E44-G44,0))</f>
        <v>0</v>
      </c>
      <c r="L44" s="18" t="s">
        <v>19</v>
      </c>
    </row>
    <row r="45" customFormat="false" ht="19.5" hidden="false" customHeight="true" outlineLevel="0" collapsed="false">
      <c r="A45" s="19" t="s">
        <v>56</v>
      </c>
      <c r="B45" s="13"/>
      <c r="C45" s="20" t="str">
        <f aca="false">IF(B45="","",TEXT(B45,"mmmm"))</f>
        <v/>
      </c>
      <c r="D45" s="15"/>
      <c r="E45" s="21" t="str">
        <f aca="false">IF(D45="","",D45*$K$4)</f>
        <v/>
      </c>
      <c r="F45" s="15"/>
      <c r="G45" s="21" t="str">
        <f aca="false">IF(F45="","",F45*$K$4)</f>
        <v/>
      </c>
      <c r="H45" s="22" t="n">
        <f aca="false">IF(L45="Inactive",0,IF(F45&gt;D45,F45-D45,0))</f>
        <v>0</v>
      </c>
      <c r="I45" s="21" t="n">
        <f aca="false">IF(L45="Inactive",0,IF(G45&gt;E45,G45-E45,0))</f>
        <v>0</v>
      </c>
      <c r="J45" s="22" t="n">
        <f aca="false">IF(L45="Inactive",0,IF(D45&gt;F45,D45-F45,0))</f>
        <v>0</v>
      </c>
      <c r="K45" s="21" t="n">
        <f aca="false">IF(L45="Inactive",0,IF(E45&gt;G45,E45-G45,0))</f>
        <v>0</v>
      </c>
      <c r="L45" s="18" t="s">
        <v>19</v>
      </c>
    </row>
    <row r="46" customFormat="false" ht="19.5" hidden="false" customHeight="true" outlineLevel="0" collapsed="false">
      <c r="A46" s="12" t="s">
        <v>57</v>
      </c>
      <c r="B46" s="13"/>
      <c r="C46" s="14" t="str">
        <f aca="false">IF(B46="","",TEXT(B46,"mmmm"))</f>
        <v/>
      </c>
      <c r="D46" s="15"/>
      <c r="E46" s="16" t="str">
        <f aca="false">IF(D46="","",D46*$K$4)</f>
        <v/>
      </c>
      <c r="F46" s="15"/>
      <c r="G46" s="16" t="str">
        <f aca="false">IF(F46="","",F46*$K$4)</f>
        <v/>
      </c>
      <c r="H46" s="17" t="n">
        <f aca="false">IF(L46="Inactive",0,IF(F46&gt;D46,F46-D46,0))</f>
        <v>0</v>
      </c>
      <c r="I46" s="16" t="n">
        <f aca="false">IF(L46="Inactive",0,IF(G46&gt;E46,G46-E46,0))</f>
        <v>0</v>
      </c>
      <c r="J46" s="17" t="n">
        <f aca="false">IF(L46="Inactive",0,IF(D46&gt;F46,D46-F46,0))</f>
        <v>0</v>
      </c>
      <c r="K46" s="16" t="n">
        <f aca="false">IF(L46="Inactive",0,IF(E46&gt;G46,E46-G46,0))</f>
        <v>0</v>
      </c>
      <c r="L46" s="18" t="s">
        <v>19</v>
      </c>
    </row>
    <row r="47" customFormat="false" ht="19.5" hidden="false" customHeight="true" outlineLevel="0" collapsed="false">
      <c r="A47" s="19" t="s">
        <v>58</v>
      </c>
      <c r="B47" s="13"/>
      <c r="C47" s="20" t="str">
        <f aca="false">IF(B47="","",TEXT(B47,"mmmm"))</f>
        <v/>
      </c>
      <c r="D47" s="15"/>
      <c r="E47" s="21" t="str">
        <f aca="false">IF(D47="","",D47*$K$4)</f>
        <v/>
      </c>
      <c r="F47" s="15"/>
      <c r="G47" s="21" t="str">
        <f aca="false">IF(F47="","",F47*$K$4)</f>
        <v/>
      </c>
      <c r="H47" s="22" t="n">
        <f aca="false">IF(L47="Inactive",0,IF(F47&gt;D47,F47-D47,0))</f>
        <v>0</v>
      </c>
      <c r="I47" s="21" t="n">
        <f aca="false">IF(L47="Inactive",0,IF(G47&gt;E47,G47-E47,0))</f>
        <v>0</v>
      </c>
      <c r="J47" s="22" t="n">
        <f aca="false">IF(L47="Inactive",0,IF(D47&gt;F47,D47-F47,0))</f>
        <v>0</v>
      </c>
      <c r="K47" s="21" t="n">
        <f aca="false">IF(L47="Inactive",0,IF(E47&gt;G47,E47-G47,0))</f>
        <v>0</v>
      </c>
      <c r="L47" s="18" t="s">
        <v>19</v>
      </c>
    </row>
    <row r="48" customFormat="false" ht="19.5" hidden="false" customHeight="true" outlineLevel="0" collapsed="false">
      <c r="A48" s="12" t="s">
        <v>59</v>
      </c>
      <c r="B48" s="13"/>
      <c r="C48" s="14" t="str">
        <f aca="false">IF(B48="","",TEXT(B48,"mmmm"))</f>
        <v/>
      </c>
      <c r="D48" s="15"/>
      <c r="E48" s="16" t="str">
        <f aca="false">IF(D48="","",D48*$K$4)</f>
        <v/>
      </c>
      <c r="F48" s="15"/>
      <c r="G48" s="16" t="str">
        <f aca="false">IF(F48="","",F48*$K$4)</f>
        <v/>
      </c>
      <c r="H48" s="17" t="n">
        <f aca="false">IF(L48="Inactive",0,IF(F48&gt;D48,F48-D48,0))</f>
        <v>0</v>
      </c>
      <c r="I48" s="16" t="n">
        <f aca="false">IF(L48="Inactive",0,IF(G48&gt;E48,G48-E48,0))</f>
        <v>0</v>
      </c>
      <c r="J48" s="17" t="n">
        <f aca="false">IF(L48="Inactive",0,IF(D48&gt;F48,D48-F48,0))</f>
        <v>0</v>
      </c>
      <c r="K48" s="16" t="n">
        <f aca="false">IF(L48="Inactive",0,IF(E48&gt;G48,E48-G48,0))</f>
        <v>0</v>
      </c>
      <c r="L48" s="18" t="s">
        <v>19</v>
      </c>
    </row>
    <row r="49" customFormat="false" ht="19.5" hidden="false" customHeight="true" outlineLevel="0" collapsed="false">
      <c r="A49" s="19" t="s">
        <v>60</v>
      </c>
      <c r="B49" s="13"/>
      <c r="C49" s="20" t="str">
        <f aca="false">IF(B49="","",TEXT(B49,"mmmm"))</f>
        <v/>
      </c>
      <c r="D49" s="15"/>
      <c r="E49" s="21" t="str">
        <f aca="false">IF(D49="","",D49*$K$4)</f>
        <v/>
      </c>
      <c r="F49" s="15"/>
      <c r="G49" s="21" t="str">
        <f aca="false">IF(F49="","",F49*$K$4)</f>
        <v/>
      </c>
      <c r="H49" s="22" t="n">
        <f aca="false">IF(L49="Inactive",0,IF(F49&gt;D49,F49-D49,0))</f>
        <v>0</v>
      </c>
      <c r="I49" s="21" t="n">
        <f aca="false">IF(L49="Inactive",0,IF(G49&gt;E49,G49-E49,0))</f>
        <v>0</v>
      </c>
      <c r="J49" s="22" t="n">
        <f aca="false">IF(L49="Inactive",0,IF(D49&gt;F49,D49-F49,0))</f>
        <v>0</v>
      </c>
      <c r="K49" s="21" t="n">
        <f aca="false">IF(L49="Inactive",0,IF(E49&gt;G49,E49-G49,0))</f>
        <v>0</v>
      </c>
      <c r="L49" s="18" t="s">
        <v>19</v>
      </c>
    </row>
    <row r="50" customFormat="false" ht="19.5" hidden="false" customHeight="true" outlineLevel="0" collapsed="false">
      <c r="A50" s="12" t="s">
        <v>61</v>
      </c>
      <c r="B50" s="13"/>
      <c r="C50" s="14" t="str">
        <f aca="false">IF(B50="","",TEXT(B50,"mmmm"))</f>
        <v/>
      </c>
      <c r="D50" s="15"/>
      <c r="E50" s="16" t="str">
        <f aca="false">IF(D50="","",D50*$K$4)</f>
        <v/>
      </c>
      <c r="F50" s="15"/>
      <c r="G50" s="16" t="str">
        <f aca="false">IF(F50="","",F50*$K$4)</f>
        <v/>
      </c>
      <c r="H50" s="17" t="n">
        <f aca="false">IF(L50="Inactive",0,IF(F50&gt;D50,F50-D50,0))</f>
        <v>0</v>
      </c>
      <c r="I50" s="16" t="n">
        <f aca="false">IF(L50="Inactive",0,IF(G50&gt;E50,G50-E50,0))</f>
        <v>0</v>
      </c>
      <c r="J50" s="17" t="n">
        <f aca="false">IF(L50="Inactive",0,IF(D50&gt;F50,D50-F50,0))</f>
        <v>0</v>
      </c>
      <c r="K50" s="16" t="n">
        <f aca="false">IF(L50="Inactive",0,IF(E50&gt;G50,E50-G50,0))</f>
        <v>0</v>
      </c>
      <c r="L50" s="18" t="s">
        <v>19</v>
      </c>
    </row>
    <row r="51" customFormat="false" ht="19.5" hidden="false" customHeight="true" outlineLevel="0" collapsed="false">
      <c r="A51" s="19" t="s">
        <v>62</v>
      </c>
      <c r="B51" s="13"/>
      <c r="C51" s="20" t="str">
        <f aca="false">IF(B51="","",TEXT(B51,"mmmm"))</f>
        <v/>
      </c>
      <c r="D51" s="15"/>
      <c r="E51" s="21" t="str">
        <f aca="false">IF(D51="","",D51*$K$4)</f>
        <v/>
      </c>
      <c r="F51" s="15"/>
      <c r="G51" s="21" t="str">
        <f aca="false">IF(F51="","",F51*$K$4)</f>
        <v/>
      </c>
      <c r="H51" s="22" t="n">
        <f aca="false">IF(L51="Inactive",0,IF(F51&gt;D51,F51-D51,0))</f>
        <v>0</v>
      </c>
      <c r="I51" s="21" t="n">
        <f aca="false">IF(L51="Inactive",0,IF(G51&gt;E51,G51-E51,0))</f>
        <v>0</v>
      </c>
      <c r="J51" s="22" t="n">
        <f aca="false">IF(L51="Inactive",0,IF(D51&gt;F51,D51-F51,0))</f>
        <v>0</v>
      </c>
      <c r="K51" s="21" t="n">
        <f aca="false">IF(L51="Inactive",0,IF(E51&gt;G51,E51-G51,0))</f>
        <v>0</v>
      </c>
      <c r="L51" s="18" t="s">
        <v>19</v>
      </c>
    </row>
    <row r="52" customFormat="false" ht="19.5" hidden="false" customHeight="true" outlineLevel="0" collapsed="false">
      <c r="A52" s="12" t="s">
        <v>63</v>
      </c>
      <c r="B52" s="13"/>
      <c r="C52" s="14" t="str">
        <f aca="false">IF(B52="","",TEXT(B52,"mmmm"))</f>
        <v/>
      </c>
      <c r="D52" s="15"/>
      <c r="E52" s="16" t="str">
        <f aca="false">IF(D52="","",D52*$K$4)</f>
        <v/>
      </c>
      <c r="F52" s="15"/>
      <c r="G52" s="16" t="str">
        <f aca="false">IF(F52="","",F52*$K$4)</f>
        <v/>
      </c>
      <c r="H52" s="17" t="n">
        <f aca="false">IF(L52="Inactive",0,IF(F52&gt;D52,F52-D52,0))</f>
        <v>0</v>
      </c>
      <c r="I52" s="16" t="n">
        <f aca="false">IF(L52="Inactive",0,IF(G52&gt;E52,G52-E52,0))</f>
        <v>0</v>
      </c>
      <c r="J52" s="17" t="n">
        <f aca="false">IF(L52="Inactive",0,IF(D52&gt;F52,D52-F52,0))</f>
        <v>0</v>
      </c>
      <c r="K52" s="16" t="n">
        <f aca="false">IF(L52="Inactive",0,IF(E52&gt;G52,E52-G52,0))</f>
        <v>0</v>
      </c>
      <c r="L52" s="18" t="s">
        <v>19</v>
      </c>
    </row>
    <row r="53" customFormat="false" ht="19.5" hidden="false" customHeight="true" outlineLevel="0" collapsed="false">
      <c r="A53" s="19" t="s">
        <v>64</v>
      </c>
      <c r="B53" s="13"/>
      <c r="C53" s="20" t="str">
        <f aca="false">IF(B53="","",TEXT(B53,"mmmm"))</f>
        <v/>
      </c>
      <c r="D53" s="15"/>
      <c r="E53" s="21" t="str">
        <f aca="false">IF(D53="","",D53*$K$4)</f>
        <v/>
      </c>
      <c r="F53" s="15"/>
      <c r="G53" s="21" t="str">
        <f aca="false">IF(F53="","",F53*$K$4)</f>
        <v/>
      </c>
      <c r="H53" s="22" t="n">
        <f aca="false">IF(L53="Inactive",0,IF(F53&gt;D53,F53-D53,0))</f>
        <v>0</v>
      </c>
      <c r="I53" s="21" t="n">
        <f aca="false">IF(L53="Inactive",0,IF(G53&gt;E53,G53-E53,0))</f>
        <v>0</v>
      </c>
      <c r="J53" s="22" t="n">
        <f aca="false">IF(L53="Inactive",0,IF(D53&gt;F53,D53-F53,0))</f>
        <v>0</v>
      </c>
      <c r="K53" s="21" t="n">
        <f aca="false">IF(L53="Inactive",0,IF(E53&gt;G53,E53-G53,0))</f>
        <v>0</v>
      </c>
      <c r="L53" s="18" t="s">
        <v>19</v>
      </c>
    </row>
    <row r="54" customFormat="false" ht="19.5" hidden="false" customHeight="true" outlineLevel="0" collapsed="false">
      <c r="A54" s="12" t="s">
        <v>65</v>
      </c>
      <c r="B54" s="13"/>
      <c r="C54" s="14" t="str">
        <f aca="false">IF(B54="","",TEXT(B54,"mmmm"))</f>
        <v/>
      </c>
      <c r="D54" s="15"/>
      <c r="E54" s="16" t="str">
        <f aca="false">IF(D54="","",D54*$K$4)</f>
        <v/>
      </c>
      <c r="F54" s="15"/>
      <c r="G54" s="16" t="str">
        <f aca="false">IF(F54="","",F54*$K$4)</f>
        <v/>
      </c>
      <c r="H54" s="17" t="n">
        <f aca="false">IF(L54="Inactive",0,IF(F54&gt;D54,F54-D54,0))</f>
        <v>0</v>
      </c>
      <c r="I54" s="16" t="n">
        <f aca="false">IF(L54="Inactive",0,IF(G54&gt;E54,G54-E54,0))</f>
        <v>0</v>
      </c>
      <c r="J54" s="17" t="n">
        <f aca="false">IF(L54="Inactive",0,IF(D54&gt;F54,D54-F54,0))</f>
        <v>0</v>
      </c>
      <c r="K54" s="16" t="n">
        <f aca="false">IF(L54="Inactive",0,IF(E54&gt;G54,E54-G54,0))</f>
        <v>0</v>
      </c>
      <c r="L54" s="18" t="s">
        <v>19</v>
      </c>
    </row>
    <row r="55" customFormat="false" ht="19.5" hidden="false" customHeight="true" outlineLevel="0" collapsed="false">
      <c r="A55" s="19" t="s">
        <v>66</v>
      </c>
      <c r="B55" s="13"/>
      <c r="C55" s="20" t="str">
        <f aca="false">IF(B55="","",TEXT(B55,"mmmm"))</f>
        <v/>
      </c>
      <c r="D55" s="15"/>
      <c r="E55" s="21" t="str">
        <f aca="false">IF(D55="","",D55*$K$4)</f>
        <v/>
      </c>
      <c r="F55" s="15"/>
      <c r="G55" s="21" t="str">
        <f aca="false">IF(F55="","",F55*$K$4)</f>
        <v/>
      </c>
      <c r="H55" s="22" t="n">
        <f aca="false">IF(L55="Inactive",0,IF(F55&gt;D55,F55-D55,0))</f>
        <v>0</v>
      </c>
      <c r="I55" s="21" t="n">
        <f aca="false">IF(L55="Inactive",0,IF(G55&gt;E55,G55-E55,0))</f>
        <v>0</v>
      </c>
      <c r="J55" s="22" t="n">
        <f aca="false">IF(L55="Inactive",0,IF(D55&gt;F55,D55-F55,0))</f>
        <v>0</v>
      </c>
      <c r="K55" s="21" t="n">
        <f aca="false">IF(L55="Inactive",0,IF(E55&gt;G55,E55-G55,0))</f>
        <v>0</v>
      </c>
      <c r="L55" s="18" t="s">
        <v>19</v>
      </c>
    </row>
    <row r="56" customFormat="false" ht="19.5" hidden="false" customHeight="true" outlineLevel="0" collapsed="false">
      <c r="A56" s="12" t="s">
        <v>67</v>
      </c>
      <c r="B56" s="13"/>
      <c r="C56" s="14" t="str">
        <f aca="false">IF(B56="","",TEXT(B56,"mmmm"))</f>
        <v/>
      </c>
      <c r="D56" s="15"/>
      <c r="E56" s="16" t="str">
        <f aca="false">IF(D56="","",D56*$K$4)</f>
        <v/>
      </c>
      <c r="F56" s="15"/>
      <c r="G56" s="16" t="str">
        <f aca="false">IF(F56="","",F56*$K$4)</f>
        <v/>
      </c>
      <c r="H56" s="17" t="n">
        <f aca="false">IF(L56="Inactive",0,IF(F56&gt;D56,F56-D56,0))</f>
        <v>0</v>
      </c>
      <c r="I56" s="16" t="n">
        <f aca="false">IF(L56="Inactive",0,IF(G56&gt;E56,G56-E56,0))</f>
        <v>0</v>
      </c>
      <c r="J56" s="17" t="n">
        <f aca="false">IF(L56="Inactive",0,IF(D56&gt;F56,D56-F56,0))</f>
        <v>0</v>
      </c>
      <c r="K56" s="16" t="n">
        <f aca="false">IF(L56="Inactive",0,IF(E56&gt;G56,E56-G56,0))</f>
        <v>0</v>
      </c>
      <c r="L56" s="18" t="s">
        <v>19</v>
      </c>
    </row>
    <row r="57" customFormat="false" ht="19.5" hidden="false" customHeight="true" outlineLevel="0" collapsed="false">
      <c r="A57" s="19" t="s">
        <v>68</v>
      </c>
      <c r="B57" s="13"/>
      <c r="C57" s="20" t="str">
        <f aca="false">IF(B57="","",TEXT(B57,"mmmm"))</f>
        <v/>
      </c>
      <c r="D57" s="15"/>
      <c r="E57" s="21" t="str">
        <f aca="false">IF(D57="","",D57*$K$4)</f>
        <v/>
      </c>
      <c r="F57" s="15"/>
      <c r="G57" s="21" t="str">
        <f aca="false">IF(F57="","",F57*$K$4)</f>
        <v/>
      </c>
      <c r="H57" s="22" t="n">
        <f aca="false">IF(L57="Inactive",0,IF(F57&gt;D57,F57-D57,0))</f>
        <v>0</v>
      </c>
      <c r="I57" s="21" t="n">
        <f aca="false">IF(L57="Inactive",0,IF(G57&gt;E57,G57-E57,0))</f>
        <v>0</v>
      </c>
      <c r="J57" s="22" t="n">
        <f aca="false">IF(L57="Inactive",0,IF(D57&gt;F57,D57-F57,0))</f>
        <v>0</v>
      </c>
      <c r="K57" s="21" t="n">
        <f aca="false">IF(L57="Inactive",0,IF(E57&gt;G57,E57-G57,0))</f>
        <v>0</v>
      </c>
      <c r="L57" s="18" t="s">
        <v>19</v>
      </c>
    </row>
    <row r="58" customFormat="false" ht="24" hidden="false" customHeight="true" outlineLevel="0" collapsed="false">
      <c r="A58" s="23" t="s">
        <v>69</v>
      </c>
      <c r="B58" s="23"/>
      <c r="C58" s="23"/>
      <c r="D58" s="24" t="n">
        <f aca="false">SUM(D8:D57)</f>
        <v>0</v>
      </c>
      <c r="E58" s="24" t="n">
        <f aca="false">SUM(E8:E57)</f>
        <v>0</v>
      </c>
      <c r="F58" s="24" t="n">
        <f aca="false">SUM(F8:F57)</f>
        <v>0</v>
      </c>
      <c r="G58" s="24" t="n">
        <f aca="false">SUM(G8:G57)</f>
        <v>0</v>
      </c>
      <c r="H58" s="24" t="n">
        <f aca="false">SUM(H8:H57)</f>
        <v>0</v>
      </c>
      <c r="I58" s="24" t="n">
        <f aca="false">SUM(I8:I57)</f>
        <v>0</v>
      </c>
      <c r="J58" s="24" t="n">
        <f aca="false">SUM(J8:J57)</f>
        <v>0</v>
      </c>
      <c r="K58" s="24" t="n">
        <f aca="false">SUM(K8:K57)</f>
        <v>0</v>
      </c>
      <c r="L58" s="25"/>
    </row>
    <row r="59" customFormat="false" ht="12" hidden="false" customHeight="true" outlineLevel="0" collapsed="false"/>
    <row r="60" customFormat="false" ht="13.5" hidden="false" customHeight="true" outlineLevel="0" collapsed="false">
      <c r="A60" s="26" t="s">
        <v>70</v>
      </c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</row>
    <row r="61" customFormat="false" ht="18" hidden="false" customHeight="true" outlineLevel="0" collapsed="false">
      <c r="A61" s="27" t="s">
        <v>71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</row>
    <row r="62" customFormat="false" ht="27.75" hidden="false" customHeight="true" outlineLevel="0" collapsed="false">
      <c r="A62" s="28" t="s">
        <v>72</v>
      </c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</row>
    <row r="63" customFormat="false" ht="18" hidden="false" customHeight="true" outlineLevel="0" collapsed="false">
      <c r="A63" s="27" t="s">
        <v>73</v>
      </c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</row>
    <row r="64" customFormat="false" ht="27.75" hidden="false" customHeight="true" outlineLevel="0" collapsed="false">
      <c r="A64" s="28" t="s">
        <v>74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</row>
    <row r="65" customFormat="false" ht="18" hidden="false" customHeight="true" outlineLevel="0" collapsed="false">
      <c r="A65" s="27" t="s">
        <v>75</v>
      </c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</row>
    <row r="66" customFormat="false" ht="27.75" hidden="false" customHeight="true" outlineLevel="0" collapsed="false">
      <c r="A66" s="28" t="s">
        <v>76</v>
      </c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</row>
    <row r="67" customFormat="false" ht="18" hidden="false" customHeight="true" outlineLevel="0" collapsed="false">
      <c r="A67" s="27" t="s">
        <v>77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</row>
    <row r="68" customFormat="false" ht="27.75" hidden="false" customHeight="true" outlineLevel="0" collapsed="false">
      <c r="A68" s="28" t="s">
        <v>78</v>
      </c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</row>
    <row r="69" customFormat="false" ht="18" hidden="false" customHeight="true" outlineLevel="0" collapsed="false">
      <c r="A69" s="27" t="s">
        <v>79</v>
      </c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</row>
    <row r="70" customFormat="false" ht="27.75" hidden="false" customHeight="true" outlineLevel="0" collapsed="false">
      <c r="A70" s="28" t="s">
        <v>80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</row>
    <row r="71" customFormat="false" ht="18" hidden="false" customHeight="true" outlineLevel="0" collapsed="false">
      <c r="A71" s="27" t="s">
        <v>81</v>
      </c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</row>
    <row r="72" customFormat="false" ht="27.75" hidden="false" customHeight="true" outlineLevel="0" collapsed="false">
      <c r="A72" s="28" t="s">
        <v>82</v>
      </c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</row>
  </sheetData>
  <mergeCells count="18">
    <mergeCell ref="A1:L3"/>
    <mergeCell ref="A4:I4"/>
    <mergeCell ref="A5:B5"/>
    <mergeCell ref="C5:D5"/>
    <mergeCell ref="A58:C58"/>
    <mergeCell ref="A60:L60"/>
    <mergeCell ref="A61:L61"/>
    <mergeCell ref="A62:L62"/>
    <mergeCell ref="A63:L63"/>
    <mergeCell ref="A64:L64"/>
    <mergeCell ref="A65:L65"/>
    <mergeCell ref="A66:L66"/>
    <mergeCell ref="A67:L67"/>
    <mergeCell ref="A68:L68"/>
    <mergeCell ref="A69:L69"/>
    <mergeCell ref="A70:L70"/>
    <mergeCell ref="A71:L71"/>
    <mergeCell ref="A72:L72"/>
  </mergeCells>
  <conditionalFormatting sqref="L8:L57">
    <cfRule type="cellIs" priority="2" operator="equal" aboveAverage="0" equalAverage="0" bottom="0" percent="0" rank="0" text="" dxfId="0">
      <formula>"Active"</formula>
    </cfRule>
    <cfRule type="cellIs" priority="3" operator="equal" aboveAverage="0" equalAverage="0" bottom="0" percent="0" rank="0" text="" dxfId="1">
      <formula>"Inactive"</formula>
    </cfRule>
  </conditionalFormatting>
  <dataValidations count="2">
    <dataValidation allowBlank="true" error="Invalid Product ID" errorStyle="stop" errorTitle="Selection Error" operator="between" prompt="Choose a Product ID" promptTitle="Quick-View Lookup" showDropDown="false" showErrorMessage="false" showInputMessage="false" sqref="C5" type="list">
      <formula1>"OP1,OP2,OP3,OP4,OP5,OP6,OP7,OP8,OP9,OP10,OP11,OP12,OP13,OP14,OP15,OP16,OP17,OP18,OP19,OP20,OP21,OP22,OP23,OP24,OP25,OP26,OP27,OP28,OP29,OP30,OP31,OP32,OP33,OP34,OP35,OP36,OP37,OP38,OP39,OP40,OP41,OP42,OP43,OP44,OP45,OP46,OP47,OP48,OP49,OP50"</formula1>
      <formula2>0</formula2>
    </dataValidation>
    <dataValidation allowBlank="false" error="Please choose Active or Inactive" errorStyle="stop" errorTitle="Invalid Entry" operator="between" prompt="Select stock status" promptTitle="Stock Status" showDropDown="false" showErrorMessage="false" showInputMessage="false" sqref="L8:L57" type="list">
      <formula1>"Active,Inactive"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6"/>
    <col collapsed="false" customWidth="true" hidden="false" outlineLevel="0" max="3" min="3" style="1" width="18"/>
    <col collapsed="false" customWidth="true" hidden="false" outlineLevel="0" max="5" min="4" style="1" width="20"/>
    <col collapsed="false" customWidth="true" hidden="false" outlineLevel="0" max="7" min="6" style="1" width="18"/>
    <col collapsed="false" customWidth="true" hidden="false" outlineLevel="0" max="9" min="8" style="1" width="16"/>
    <col collapsed="false" customWidth="true" hidden="false" outlineLevel="0" max="12" min="10" style="1" width="14"/>
  </cols>
  <sheetData>
    <row r="1" customFormat="false" ht="9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30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9.7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27.75" hidden="false" customHeight="true" outlineLevel="0" collapsed="false">
      <c r="A4" s="3" t="s">
        <v>83</v>
      </c>
      <c r="B4" s="3"/>
      <c r="C4" s="3"/>
      <c r="D4" s="3"/>
      <c r="E4" s="3"/>
      <c r="F4" s="3"/>
      <c r="G4" s="3"/>
      <c r="H4" s="3"/>
      <c r="I4" s="3"/>
      <c r="J4" s="4" t="s">
        <v>2</v>
      </c>
      <c r="K4" s="5" t="n">
        <v>0.37</v>
      </c>
      <c r="L4" s="6" t="s">
        <v>3</v>
      </c>
    </row>
    <row r="5" customFormat="false" ht="31.5" hidden="false" customHeight="true" outlineLevel="0" collapsed="false">
      <c r="A5" s="7" t="s">
        <v>4</v>
      </c>
      <c r="B5" s="7"/>
      <c r="C5" s="8" t="s">
        <v>5</v>
      </c>
      <c r="D5" s="8"/>
      <c r="E5" s="9" t="str">
        <f aca="false">IFERROR(VLOOKUP(C5,A8:L57,4,0),"")</f>
        <v/>
      </c>
      <c r="F5" s="9" t="str">
        <f aca="false">IFERROR(VLOOKUP(C5,A8:L57,5,0),"")</f>
        <v/>
      </c>
      <c r="G5" s="9" t="str">
        <f aca="false">IFERROR(VLOOKUP(C5,A8:L57,6,0),"")</f>
        <v/>
      </c>
      <c r="H5" s="9" t="str">
        <f aca="false">IFERROR(VLOOKUP(C5,A8:L57,7,0),"")</f>
        <v/>
      </c>
      <c r="I5" s="9" t="str">
        <f aca="false">IFERROR(VLOOKUP(C5,A8:L57,8,0),"")</f>
        <v/>
      </c>
      <c r="J5" s="9" t="str">
        <f aca="false">IFERROR(VLOOKUP(C5,A8:L57,9,0),"")</f>
        <v/>
      </c>
      <c r="K5" s="9" t="str">
        <f aca="false">IFERROR(VLOOKUP(C5,A8:L57,10,0),"")</f>
        <v/>
      </c>
      <c r="L5" s="9" t="str">
        <f aca="false">IFERROR(VLOOKUP(C5,A8:L57,11,0),"")</f>
        <v/>
      </c>
    </row>
    <row r="6" customFormat="false" ht="9.75" hidden="false" customHeight="true" outlineLevel="0" collapsed="false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customFormat="false" ht="36" hidden="false" customHeight="true" outlineLevel="0" collapsed="false">
      <c r="A7" s="11" t="s">
        <v>6</v>
      </c>
      <c r="B7" s="11" t="s">
        <v>7</v>
      </c>
      <c r="C7" s="11" t="s">
        <v>8</v>
      </c>
      <c r="D7" s="11" t="s">
        <v>9</v>
      </c>
      <c r="E7" s="11" t="s">
        <v>10</v>
      </c>
      <c r="F7" s="11" t="s">
        <v>11</v>
      </c>
      <c r="G7" s="11" t="s">
        <v>12</v>
      </c>
      <c r="H7" s="11" t="s">
        <v>13</v>
      </c>
      <c r="I7" s="11" t="s">
        <v>14</v>
      </c>
      <c r="J7" s="11" t="s">
        <v>15</v>
      </c>
      <c r="K7" s="11" t="s">
        <v>16</v>
      </c>
      <c r="L7" s="11" t="s">
        <v>17</v>
      </c>
    </row>
    <row r="8" customFormat="false" ht="19.5" hidden="false" customHeight="true" outlineLevel="0" collapsed="false">
      <c r="A8" s="12" t="s">
        <v>84</v>
      </c>
      <c r="B8" s="13"/>
      <c r="C8" s="14" t="str">
        <f aca="false">IF(B8="","",TEXT(B8,"mmmm"))</f>
        <v/>
      </c>
      <c r="D8" s="15"/>
      <c r="E8" s="16" t="str">
        <f aca="false">IF(D8="","",D8*$K$4)</f>
        <v/>
      </c>
      <c r="F8" s="15"/>
      <c r="G8" s="16" t="str">
        <f aca="false">IF(F8="","",F8*$K$4)</f>
        <v/>
      </c>
      <c r="H8" s="17" t="n">
        <f aca="false">IF(L8="Inactive",0,IF(F8&gt;D8,F8-D8,0))</f>
        <v>0</v>
      </c>
      <c r="I8" s="16" t="n">
        <f aca="false">IF(L8="Inactive",0,IF(G8&gt;E8,G8-E8,0))</f>
        <v>0</v>
      </c>
      <c r="J8" s="17" t="n">
        <f aca="false">IF(L8="Inactive",0,IF(D8&gt;F8,D8-F8,0))</f>
        <v>0</v>
      </c>
      <c r="K8" s="16" t="n">
        <f aca="false">IF(L8="Inactive",0,IF(E8&gt;G8,E8-G8,0))</f>
        <v>0</v>
      </c>
      <c r="L8" s="18" t="s">
        <v>19</v>
      </c>
    </row>
    <row r="9" customFormat="false" ht="19.5" hidden="false" customHeight="true" outlineLevel="0" collapsed="false">
      <c r="A9" s="19" t="s">
        <v>85</v>
      </c>
      <c r="B9" s="13"/>
      <c r="C9" s="20" t="str">
        <f aca="false">IF(B9="","",TEXT(B9,"mmmm"))</f>
        <v/>
      </c>
      <c r="D9" s="15"/>
      <c r="E9" s="21" t="str">
        <f aca="false">IF(D9="","",D9*$K$4)</f>
        <v/>
      </c>
      <c r="F9" s="15"/>
      <c r="G9" s="21" t="str">
        <f aca="false">IF(F9="","",F9*$K$4)</f>
        <v/>
      </c>
      <c r="H9" s="22" t="n">
        <f aca="false">IF(L9="Inactive",0,IF(F9&gt;D9,F9-D9,0))</f>
        <v>0</v>
      </c>
      <c r="I9" s="21" t="n">
        <f aca="false">IF(L9="Inactive",0,IF(G9&gt;E9,G9-E9,0))</f>
        <v>0</v>
      </c>
      <c r="J9" s="22" t="n">
        <f aca="false">IF(L9="Inactive",0,IF(D9&gt;F9,D9-F9,0))</f>
        <v>0</v>
      </c>
      <c r="K9" s="21" t="n">
        <f aca="false">IF(L9="Inactive",0,IF(E9&gt;G9,E9-G9,0))</f>
        <v>0</v>
      </c>
      <c r="L9" s="18" t="s">
        <v>19</v>
      </c>
    </row>
    <row r="10" customFormat="false" ht="19.5" hidden="false" customHeight="true" outlineLevel="0" collapsed="false">
      <c r="A10" s="12" t="s">
        <v>86</v>
      </c>
      <c r="B10" s="13"/>
      <c r="C10" s="14" t="str">
        <f aca="false">IF(B10="","",TEXT(B10,"mmmm"))</f>
        <v/>
      </c>
      <c r="D10" s="15"/>
      <c r="E10" s="16" t="str">
        <f aca="false">IF(D10="","",D10*$K$4)</f>
        <v/>
      </c>
      <c r="F10" s="15"/>
      <c r="G10" s="16" t="str">
        <f aca="false">IF(F10="","",F10*$K$4)</f>
        <v/>
      </c>
      <c r="H10" s="17" t="n">
        <f aca="false">IF(L10="Inactive",0,IF(F10&gt;D10,F10-D10,0))</f>
        <v>0</v>
      </c>
      <c r="I10" s="16" t="n">
        <f aca="false">IF(L10="Inactive",0,IF(G10&gt;E10,G10-E10,0))</f>
        <v>0</v>
      </c>
      <c r="J10" s="17" t="n">
        <f aca="false">IF(L10="Inactive",0,IF(D10&gt;F10,D10-F10,0))</f>
        <v>0</v>
      </c>
      <c r="K10" s="16" t="n">
        <f aca="false">IF(L10="Inactive",0,IF(E10&gt;G10,E10-G10,0))</f>
        <v>0</v>
      </c>
      <c r="L10" s="18" t="s">
        <v>19</v>
      </c>
    </row>
    <row r="11" customFormat="false" ht="19.5" hidden="false" customHeight="true" outlineLevel="0" collapsed="false">
      <c r="A11" s="19" t="s">
        <v>87</v>
      </c>
      <c r="B11" s="13"/>
      <c r="C11" s="20" t="str">
        <f aca="false">IF(B11="","",TEXT(B11,"mmmm"))</f>
        <v/>
      </c>
      <c r="D11" s="15"/>
      <c r="E11" s="21" t="str">
        <f aca="false">IF(D11="","",D11*$K$4)</f>
        <v/>
      </c>
      <c r="F11" s="15"/>
      <c r="G11" s="21" t="str">
        <f aca="false">IF(F11="","",F11*$K$4)</f>
        <v/>
      </c>
      <c r="H11" s="22" t="n">
        <f aca="false">IF(L11="Inactive",0,IF(F11&gt;D11,F11-D11,0))</f>
        <v>0</v>
      </c>
      <c r="I11" s="21" t="n">
        <f aca="false">IF(L11="Inactive",0,IF(G11&gt;E11,G11-E11,0))</f>
        <v>0</v>
      </c>
      <c r="J11" s="22" t="n">
        <f aca="false">IF(L11="Inactive",0,IF(D11&gt;F11,D11-F11,0))</f>
        <v>0</v>
      </c>
      <c r="K11" s="21" t="n">
        <f aca="false">IF(L11="Inactive",0,IF(E11&gt;G11,E11-G11,0))</f>
        <v>0</v>
      </c>
      <c r="L11" s="18" t="s">
        <v>19</v>
      </c>
    </row>
    <row r="12" customFormat="false" ht="19.5" hidden="false" customHeight="true" outlineLevel="0" collapsed="false">
      <c r="A12" s="12" t="s">
        <v>88</v>
      </c>
      <c r="B12" s="13"/>
      <c r="C12" s="14" t="str">
        <f aca="false">IF(B12="","",TEXT(B12,"mmmm"))</f>
        <v/>
      </c>
      <c r="D12" s="15"/>
      <c r="E12" s="16" t="str">
        <f aca="false">IF(D12="","",D12*$K$4)</f>
        <v/>
      </c>
      <c r="F12" s="15"/>
      <c r="G12" s="16" t="str">
        <f aca="false">IF(F12="","",F12*$K$4)</f>
        <v/>
      </c>
      <c r="H12" s="17" t="n">
        <f aca="false">IF(L12="Inactive",0,IF(F12&gt;D12,F12-D12,0))</f>
        <v>0</v>
      </c>
      <c r="I12" s="16" t="n">
        <f aca="false">IF(L12="Inactive",0,IF(G12&gt;E12,G12-E12,0))</f>
        <v>0</v>
      </c>
      <c r="J12" s="17" t="n">
        <f aca="false">IF(L12="Inactive",0,IF(D12&gt;F12,D12-F12,0))</f>
        <v>0</v>
      </c>
      <c r="K12" s="16" t="n">
        <f aca="false">IF(L12="Inactive",0,IF(E12&gt;G12,E12-G12,0))</f>
        <v>0</v>
      </c>
      <c r="L12" s="18" t="s">
        <v>19</v>
      </c>
    </row>
    <row r="13" customFormat="false" ht="19.5" hidden="false" customHeight="true" outlineLevel="0" collapsed="false">
      <c r="A13" s="19" t="s">
        <v>89</v>
      </c>
      <c r="B13" s="13"/>
      <c r="C13" s="20" t="str">
        <f aca="false">IF(B13="","",TEXT(B13,"mmmm"))</f>
        <v/>
      </c>
      <c r="D13" s="15"/>
      <c r="E13" s="21" t="str">
        <f aca="false">IF(D13="","",D13*$K$4)</f>
        <v/>
      </c>
      <c r="F13" s="15"/>
      <c r="G13" s="21" t="str">
        <f aca="false">IF(F13="","",F13*$K$4)</f>
        <v/>
      </c>
      <c r="H13" s="22" t="n">
        <f aca="false">IF(L13="Inactive",0,IF(F13&gt;D13,F13-D13,0))</f>
        <v>0</v>
      </c>
      <c r="I13" s="21" t="n">
        <f aca="false">IF(L13="Inactive",0,IF(G13&gt;E13,G13-E13,0))</f>
        <v>0</v>
      </c>
      <c r="J13" s="22" t="n">
        <f aca="false">IF(L13="Inactive",0,IF(D13&gt;F13,D13-F13,0))</f>
        <v>0</v>
      </c>
      <c r="K13" s="21" t="n">
        <f aca="false">IF(L13="Inactive",0,IF(E13&gt;G13,E13-G13,0))</f>
        <v>0</v>
      </c>
      <c r="L13" s="18" t="s">
        <v>19</v>
      </c>
    </row>
    <row r="14" customFormat="false" ht="19.5" hidden="false" customHeight="true" outlineLevel="0" collapsed="false">
      <c r="A14" s="12" t="s">
        <v>90</v>
      </c>
      <c r="B14" s="13"/>
      <c r="C14" s="14" t="str">
        <f aca="false">IF(B14="","",TEXT(B14,"mmmm"))</f>
        <v/>
      </c>
      <c r="D14" s="15"/>
      <c r="E14" s="16" t="str">
        <f aca="false">IF(D14="","",D14*$K$4)</f>
        <v/>
      </c>
      <c r="F14" s="15"/>
      <c r="G14" s="16" t="str">
        <f aca="false">IF(F14="","",F14*$K$4)</f>
        <v/>
      </c>
      <c r="H14" s="17" t="n">
        <f aca="false">IF(L14="Inactive",0,IF(F14&gt;D14,F14-D14,0))</f>
        <v>0</v>
      </c>
      <c r="I14" s="16" t="n">
        <f aca="false">IF(L14="Inactive",0,IF(G14&gt;E14,G14-E14,0))</f>
        <v>0</v>
      </c>
      <c r="J14" s="17" t="n">
        <f aca="false">IF(L14="Inactive",0,IF(D14&gt;F14,D14-F14,0))</f>
        <v>0</v>
      </c>
      <c r="K14" s="16" t="n">
        <f aca="false">IF(L14="Inactive",0,IF(E14&gt;G14,E14-G14,0))</f>
        <v>0</v>
      </c>
      <c r="L14" s="18" t="s">
        <v>19</v>
      </c>
    </row>
    <row r="15" customFormat="false" ht="19.5" hidden="false" customHeight="true" outlineLevel="0" collapsed="false">
      <c r="A15" s="19" t="s">
        <v>91</v>
      </c>
      <c r="B15" s="13"/>
      <c r="C15" s="20" t="str">
        <f aca="false">IF(B15="","",TEXT(B15,"mmmm"))</f>
        <v/>
      </c>
      <c r="D15" s="15"/>
      <c r="E15" s="21" t="str">
        <f aca="false">IF(D15="","",D15*$K$4)</f>
        <v/>
      </c>
      <c r="F15" s="15"/>
      <c r="G15" s="21" t="str">
        <f aca="false">IF(F15="","",F15*$K$4)</f>
        <v/>
      </c>
      <c r="H15" s="22" t="n">
        <f aca="false">IF(L15="Inactive",0,IF(F15&gt;D15,F15-D15,0))</f>
        <v>0</v>
      </c>
      <c r="I15" s="21" t="n">
        <f aca="false">IF(L15="Inactive",0,IF(G15&gt;E15,G15-E15,0))</f>
        <v>0</v>
      </c>
      <c r="J15" s="22" t="n">
        <f aca="false">IF(L15="Inactive",0,IF(D15&gt;F15,D15-F15,0))</f>
        <v>0</v>
      </c>
      <c r="K15" s="21" t="n">
        <f aca="false">IF(L15="Inactive",0,IF(E15&gt;G15,E15-G15,0))</f>
        <v>0</v>
      </c>
      <c r="L15" s="18" t="s">
        <v>19</v>
      </c>
    </row>
    <row r="16" customFormat="false" ht="19.5" hidden="false" customHeight="true" outlineLevel="0" collapsed="false">
      <c r="A16" s="12" t="s">
        <v>92</v>
      </c>
      <c r="B16" s="13"/>
      <c r="C16" s="14" t="str">
        <f aca="false">IF(B16="","",TEXT(B16,"mmmm"))</f>
        <v/>
      </c>
      <c r="D16" s="15"/>
      <c r="E16" s="16" t="str">
        <f aca="false">IF(D16="","",D16*$K$4)</f>
        <v/>
      </c>
      <c r="F16" s="15"/>
      <c r="G16" s="16" t="str">
        <f aca="false">IF(F16="","",F16*$K$4)</f>
        <v/>
      </c>
      <c r="H16" s="17" t="n">
        <f aca="false">IF(L16="Inactive",0,IF(F16&gt;D16,F16-D16,0))</f>
        <v>0</v>
      </c>
      <c r="I16" s="16" t="n">
        <f aca="false">IF(L16="Inactive",0,IF(G16&gt;E16,G16-E16,0))</f>
        <v>0</v>
      </c>
      <c r="J16" s="17" t="n">
        <f aca="false">IF(L16="Inactive",0,IF(D16&gt;F16,D16-F16,0))</f>
        <v>0</v>
      </c>
      <c r="K16" s="16" t="n">
        <f aca="false">IF(L16="Inactive",0,IF(E16&gt;G16,E16-G16,0))</f>
        <v>0</v>
      </c>
      <c r="L16" s="18" t="s">
        <v>19</v>
      </c>
    </row>
    <row r="17" customFormat="false" ht="19.5" hidden="false" customHeight="true" outlineLevel="0" collapsed="false">
      <c r="A17" s="19" t="s">
        <v>93</v>
      </c>
      <c r="B17" s="13"/>
      <c r="C17" s="20" t="str">
        <f aca="false">IF(B17="","",TEXT(B17,"mmmm"))</f>
        <v/>
      </c>
      <c r="D17" s="15"/>
      <c r="E17" s="21" t="str">
        <f aca="false">IF(D17="","",D17*$K$4)</f>
        <v/>
      </c>
      <c r="F17" s="15"/>
      <c r="G17" s="21" t="str">
        <f aca="false">IF(F17="","",F17*$K$4)</f>
        <v/>
      </c>
      <c r="H17" s="22" t="n">
        <f aca="false">IF(L17="Inactive",0,IF(F17&gt;D17,F17-D17,0))</f>
        <v>0</v>
      </c>
      <c r="I17" s="21" t="n">
        <f aca="false">IF(L17="Inactive",0,IF(G17&gt;E17,G17-E17,0))</f>
        <v>0</v>
      </c>
      <c r="J17" s="22" t="n">
        <f aca="false">IF(L17="Inactive",0,IF(D17&gt;F17,D17-F17,0))</f>
        <v>0</v>
      </c>
      <c r="K17" s="21" t="n">
        <f aca="false">IF(L17="Inactive",0,IF(E17&gt;G17,E17-G17,0))</f>
        <v>0</v>
      </c>
      <c r="L17" s="18" t="s">
        <v>19</v>
      </c>
    </row>
    <row r="18" customFormat="false" ht="19.5" hidden="false" customHeight="true" outlineLevel="0" collapsed="false">
      <c r="A18" s="12" t="s">
        <v>94</v>
      </c>
      <c r="B18" s="13"/>
      <c r="C18" s="14" t="str">
        <f aca="false">IF(B18="","",TEXT(B18,"mmmm"))</f>
        <v/>
      </c>
      <c r="D18" s="15"/>
      <c r="E18" s="16" t="str">
        <f aca="false">IF(D18="","",D18*$K$4)</f>
        <v/>
      </c>
      <c r="F18" s="15"/>
      <c r="G18" s="16" t="str">
        <f aca="false">IF(F18="","",F18*$K$4)</f>
        <v/>
      </c>
      <c r="H18" s="17" t="n">
        <f aca="false">IF(L18="Inactive",0,IF(F18&gt;D18,F18-D18,0))</f>
        <v>0</v>
      </c>
      <c r="I18" s="16" t="n">
        <f aca="false">IF(L18="Inactive",0,IF(G18&gt;E18,G18-E18,0))</f>
        <v>0</v>
      </c>
      <c r="J18" s="17" t="n">
        <f aca="false">IF(L18="Inactive",0,IF(D18&gt;F18,D18-F18,0))</f>
        <v>0</v>
      </c>
      <c r="K18" s="16" t="n">
        <f aca="false">IF(L18="Inactive",0,IF(E18&gt;G18,E18-G18,0))</f>
        <v>0</v>
      </c>
      <c r="L18" s="18" t="s">
        <v>19</v>
      </c>
    </row>
    <row r="19" customFormat="false" ht="19.5" hidden="false" customHeight="true" outlineLevel="0" collapsed="false">
      <c r="A19" s="19" t="s">
        <v>95</v>
      </c>
      <c r="B19" s="13"/>
      <c r="C19" s="20" t="str">
        <f aca="false">IF(B19="","",TEXT(B19,"mmmm"))</f>
        <v/>
      </c>
      <c r="D19" s="15"/>
      <c r="E19" s="21" t="str">
        <f aca="false">IF(D19="","",D19*$K$4)</f>
        <v/>
      </c>
      <c r="F19" s="15"/>
      <c r="G19" s="21" t="str">
        <f aca="false">IF(F19="","",F19*$K$4)</f>
        <v/>
      </c>
      <c r="H19" s="22" t="n">
        <f aca="false">IF(L19="Inactive",0,IF(F19&gt;D19,F19-D19,0))</f>
        <v>0</v>
      </c>
      <c r="I19" s="21" t="n">
        <f aca="false">IF(L19="Inactive",0,IF(G19&gt;E19,G19-E19,0))</f>
        <v>0</v>
      </c>
      <c r="J19" s="22" t="n">
        <f aca="false">IF(L19="Inactive",0,IF(D19&gt;F19,D19-F19,0))</f>
        <v>0</v>
      </c>
      <c r="K19" s="21" t="n">
        <f aca="false">IF(L19="Inactive",0,IF(E19&gt;G19,E19-G19,0))</f>
        <v>0</v>
      </c>
      <c r="L19" s="18" t="s">
        <v>19</v>
      </c>
    </row>
    <row r="20" customFormat="false" ht="19.5" hidden="false" customHeight="true" outlineLevel="0" collapsed="false">
      <c r="A20" s="12" t="s">
        <v>96</v>
      </c>
      <c r="B20" s="13"/>
      <c r="C20" s="14" t="str">
        <f aca="false">IF(B20="","",TEXT(B20,"mmmm"))</f>
        <v/>
      </c>
      <c r="D20" s="15"/>
      <c r="E20" s="16" t="str">
        <f aca="false">IF(D20="","",D20*$K$4)</f>
        <v/>
      </c>
      <c r="F20" s="15"/>
      <c r="G20" s="16" t="str">
        <f aca="false">IF(F20="","",F20*$K$4)</f>
        <v/>
      </c>
      <c r="H20" s="17" t="n">
        <f aca="false">IF(L20="Inactive",0,IF(F20&gt;D20,F20-D20,0))</f>
        <v>0</v>
      </c>
      <c r="I20" s="16" t="n">
        <f aca="false">IF(L20="Inactive",0,IF(G20&gt;E20,G20-E20,0))</f>
        <v>0</v>
      </c>
      <c r="J20" s="17" t="n">
        <f aca="false">IF(L20="Inactive",0,IF(D20&gt;F20,D20-F20,0))</f>
        <v>0</v>
      </c>
      <c r="K20" s="16" t="n">
        <f aca="false">IF(L20="Inactive",0,IF(E20&gt;G20,E20-G20,0))</f>
        <v>0</v>
      </c>
      <c r="L20" s="18" t="s">
        <v>19</v>
      </c>
    </row>
    <row r="21" customFormat="false" ht="19.5" hidden="false" customHeight="true" outlineLevel="0" collapsed="false">
      <c r="A21" s="19" t="s">
        <v>97</v>
      </c>
      <c r="B21" s="13"/>
      <c r="C21" s="20" t="str">
        <f aca="false">IF(B21="","",TEXT(B21,"mmmm"))</f>
        <v/>
      </c>
      <c r="D21" s="15"/>
      <c r="E21" s="21" t="str">
        <f aca="false">IF(D21="","",D21*$K$4)</f>
        <v/>
      </c>
      <c r="F21" s="15"/>
      <c r="G21" s="21" t="str">
        <f aca="false">IF(F21="","",F21*$K$4)</f>
        <v/>
      </c>
      <c r="H21" s="22" t="n">
        <f aca="false">IF(L21="Inactive",0,IF(F21&gt;D21,F21-D21,0))</f>
        <v>0</v>
      </c>
      <c r="I21" s="21" t="n">
        <f aca="false">IF(L21="Inactive",0,IF(G21&gt;E21,G21-E21,0))</f>
        <v>0</v>
      </c>
      <c r="J21" s="22" t="n">
        <f aca="false">IF(L21="Inactive",0,IF(D21&gt;F21,D21-F21,0))</f>
        <v>0</v>
      </c>
      <c r="K21" s="21" t="n">
        <f aca="false">IF(L21="Inactive",0,IF(E21&gt;G21,E21-G21,0))</f>
        <v>0</v>
      </c>
      <c r="L21" s="18" t="s">
        <v>19</v>
      </c>
    </row>
    <row r="22" customFormat="false" ht="19.5" hidden="false" customHeight="true" outlineLevel="0" collapsed="false">
      <c r="A22" s="12" t="s">
        <v>98</v>
      </c>
      <c r="B22" s="13"/>
      <c r="C22" s="14" t="str">
        <f aca="false">IF(B22="","",TEXT(B22,"mmmm"))</f>
        <v/>
      </c>
      <c r="D22" s="15"/>
      <c r="E22" s="16" t="str">
        <f aca="false">IF(D22="","",D22*$K$4)</f>
        <v/>
      </c>
      <c r="F22" s="15"/>
      <c r="G22" s="16" t="str">
        <f aca="false">IF(F22="","",F22*$K$4)</f>
        <v/>
      </c>
      <c r="H22" s="17" t="n">
        <f aca="false">IF(L22="Inactive",0,IF(F22&gt;D22,F22-D22,0))</f>
        <v>0</v>
      </c>
      <c r="I22" s="16" t="n">
        <f aca="false">IF(L22="Inactive",0,IF(G22&gt;E22,G22-E22,0))</f>
        <v>0</v>
      </c>
      <c r="J22" s="17" t="n">
        <f aca="false">IF(L22="Inactive",0,IF(D22&gt;F22,D22-F22,0))</f>
        <v>0</v>
      </c>
      <c r="K22" s="16" t="n">
        <f aca="false">IF(L22="Inactive",0,IF(E22&gt;G22,E22-G22,0))</f>
        <v>0</v>
      </c>
      <c r="L22" s="18" t="s">
        <v>19</v>
      </c>
    </row>
    <row r="23" customFormat="false" ht="19.5" hidden="false" customHeight="true" outlineLevel="0" collapsed="false">
      <c r="A23" s="19" t="s">
        <v>99</v>
      </c>
      <c r="B23" s="13"/>
      <c r="C23" s="20" t="str">
        <f aca="false">IF(B23="","",TEXT(B23,"mmmm"))</f>
        <v/>
      </c>
      <c r="D23" s="15"/>
      <c r="E23" s="21" t="str">
        <f aca="false">IF(D23="","",D23*$K$4)</f>
        <v/>
      </c>
      <c r="F23" s="15"/>
      <c r="G23" s="21" t="str">
        <f aca="false">IF(F23="","",F23*$K$4)</f>
        <v/>
      </c>
      <c r="H23" s="22" t="n">
        <f aca="false">IF(L23="Inactive",0,IF(F23&gt;D23,F23-D23,0))</f>
        <v>0</v>
      </c>
      <c r="I23" s="21" t="n">
        <f aca="false">IF(L23="Inactive",0,IF(G23&gt;E23,G23-E23,0))</f>
        <v>0</v>
      </c>
      <c r="J23" s="22" t="n">
        <f aca="false">IF(L23="Inactive",0,IF(D23&gt;F23,D23-F23,0))</f>
        <v>0</v>
      </c>
      <c r="K23" s="21" t="n">
        <f aca="false">IF(L23="Inactive",0,IF(E23&gt;G23,E23-G23,0))</f>
        <v>0</v>
      </c>
      <c r="L23" s="18" t="s">
        <v>19</v>
      </c>
    </row>
    <row r="24" customFormat="false" ht="19.5" hidden="false" customHeight="true" outlineLevel="0" collapsed="false">
      <c r="A24" s="12" t="s">
        <v>100</v>
      </c>
      <c r="B24" s="13"/>
      <c r="C24" s="14" t="str">
        <f aca="false">IF(B24="","",TEXT(B24,"mmmm"))</f>
        <v/>
      </c>
      <c r="D24" s="15"/>
      <c r="E24" s="16" t="str">
        <f aca="false">IF(D24="","",D24*$K$4)</f>
        <v/>
      </c>
      <c r="F24" s="15"/>
      <c r="G24" s="16" t="str">
        <f aca="false">IF(F24="","",F24*$K$4)</f>
        <v/>
      </c>
      <c r="H24" s="17" t="n">
        <f aca="false">IF(L24="Inactive",0,IF(F24&gt;D24,F24-D24,0))</f>
        <v>0</v>
      </c>
      <c r="I24" s="16" t="n">
        <f aca="false">IF(L24="Inactive",0,IF(G24&gt;E24,G24-E24,0))</f>
        <v>0</v>
      </c>
      <c r="J24" s="17" t="n">
        <f aca="false">IF(L24="Inactive",0,IF(D24&gt;F24,D24-F24,0))</f>
        <v>0</v>
      </c>
      <c r="K24" s="16" t="n">
        <f aca="false">IF(L24="Inactive",0,IF(E24&gt;G24,E24-G24,0))</f>
        <v>0</v>
      </c>
      <c r="L24" s="18" t="s">
        <v>19</v>
      </c>
    </row>
    <row r="25" customFormat="false" ht="19.5" hidden="false" customHeight="true" outlineLevel="0" collapsed="false">
      <c r="A25" s="19" t="s">
        <v>101</v>
      </c>
      <c r="B25" s="13"/>
      <c r="C25" s="20" t="str">
        <f aca="false">IF(B25="","",TEXT(B25,"mmmm"))</f>
        <v/>
      </c>
      <c r="D25" s="15"/>
      <c r="E25" s="21" t="str">
        <f aca="false">IF(D25="","",D25*$K$4)</f>
        <v/>
      </c>
      <c r="F25" s="15"/>
      <c r="G25" s="21" t="str">
        <f aca="false">IF(F25="","",F25*$K$4)</f>
        <v/>
      </c>
      <c r="H25" s="22" t="n">
        <f aca="false">IF(L25="Inactive",0,IF(F25&gt;D25,F25-D25,0))</f>
        <v>0</v>
      </c>
      <c r="I25" s="21" t="n">
        <f aca="false">IF(L25="Inactive",0,IF(G25&gt;E25,G25-E25,0))</f>
        <v>0</v>
      </c>
      <c r="J25" s="22" t="n">
        <f aca="false">IF(L25="Inactive",0,IF(D25&gt;F25,D25-F25,0))</f>
        <v>0</v>
      </c>
      <c r="K25" s="21" t="n">
        <f aca="false">IF(L25="Inactive",0,IF(E25&gt;G25,E25-G25,0))</f>
        <v>0</v>
      </c>
      <c r="L25" s="18" t="s">
        <v>19</v>
      </c>
    </row>
    <row r="26" customFormat="false" ht="19.5" hidden="false" customHeight="true" outlineLevel="0" collapsed="false">
      <c r="A26" s="12" t="s">
        <v>102</v>
      </c>
      <c r="B26" s="13"/>
      <c r="C26" s="14" t="str">
        <f aca="false">IF(B26="","",TEXT(B26,"mmmm"))</f>
        <v/>
      </c>
      <c r="D26" s="15"/>
      <c r="E26" s="16" t="str">
        <f aca="false">IF(D26="","",D26*$K$4)</f>
        <v/>
      </c>
      <c r="F26" s="15"/>
      <c r="G26" s="16" t="str">
        <f aca="false">IF(F26="","",F26*$K$4)</f>
        <v/>
      </c>
      <c r="H26" s="17" t="n">
        <f aca="false">IF(L26="Inactive",0,IF(F26&gt;D26,F26-D26,0))</f>
        <v>0</v>
      </c>
      <c r="I26" s="16" t="n">
        <f aca="false">IF(L26="Inactive",0,IF(G26&gt;E26,G26-E26,0))</f>
        <v>0</v>
      </c>
      <c r="J26" s="17" t="n">
        <f aca="false">IF(L26="Inactive",0,IF(D26&gt;F26,D26-F26,0))</f>
        <v>0</v>
      </c>
      <c r="K26" s="16" t="n">
        <f aca="false">IF(L26="Inactive",0,IF(E26&gt;G26,E26-G26,0))</f>
        <v>0</v>
      </c>
      <c r="L26" s="18" t="s">
        <v>19</v>
      </c>
    </row>
    <row r="27" customFormat="false" ht="19.5" hidden="false" customHeight="true" outlineLevel="0" collapsed="false">
      <c r="A27" s="19" t="s">
        <v>103</v>
      </c>
      <c r="B27" s="13"/>
      <c r="C27" s="20" t="str">
        <f aca="false">IF(B27="","",TEXT(B27,"mmmm"))</f>
        <v/>
      </c>
      <c r="D27" s="15"/>
      <c r="E27" s="21" t="str">
        <f aca="false">IF(D27="","",D27*$K$4)</f>
        <v/>
      </c>
      <c r="F27" s="15"/>
      <c r="G27" s="21" t="str">
        <f aca="false">IF(F27="","",F27*$K$4)</f>
        <v/>
      </c>
      <c r="H27" s="22" t="n">
        <f aca="false">IF(L27="Inactive",0,IF(F27&gt;D27,F27-D27,0))</f>
        <v>0</v>
      </c>
      <c r="I27" s="21" t="n">
        <f aca="false">IF(L27="Inactive",0,IF(G27&gt;E27,G27-E27,0))</f>
        <v>0</v>
      </c>
      <c r="J27" s="22" t="n">
        <f aca="false">IF(L27="Inactive",0,IF(D27&gt;F27,D27-F27,0))</f>
        <v>0</v>
      </c>
      <c r="K27" s="21" t="n">
        <f aca="false">IF(L27="Inactive",0,IF(E27&gt;G27,E27-G27,0))</f>
        <v>0</v>
      </c>
      <c r="L27" s="18" t="s">
        <v>19</v>
      </c>
    </row>
    <row r="28" customFormat="false" ht="19.5" hidden="false" customHeight="true" outlineLevel="0" collapsed="false">
      <c r="A28" s="12" t="s">
        <v>104</v>
      </c>
      <c r="B28" s="13"/>
      <c r="C28" s="14" t="str">
        <f aca="false">IF(B28="","",TEXT(B28,"mmmm"))</f>
        <v/>
      </c>
      <c r="D28" s="15"/>
      <c r="E28" s="16" t="str">
        <f aca="false">IF(D28="","",D28*$K$4)</f>
        <v/>
      </c>
      <c r="F28" s="15"/>
      <c r="G28" s="16" t="str">
        <f aca="false">IF(F28="","",F28*$K$4)</f>
        <v/>
      </c>
      <c r="H28" s="17" t="n">
        <f aca="false">IF(L28="Inactive",0,IF(F28&gt;D28,F28-D28,0))</f>
        <v>0</v>
      </c>
      <c r="I28" s="16" t="n">
        <f aca="false">IF(L28="Inactive",0,IF(G28&gt;E28,G28-E28,0))</f>
        <v>0</v>
      </c>
      <c r="J28" s="17" t="n">
        <f aca="false">IF(L28="Inactive",0,IF(D28&gt;F28,D28-F28,0))</f>
        <v>0</v>
      </c>
      <c r="K28" s="16" t="n">
        <f aca="false">IF(L28="Inactive",0,IF(E28&gt;G28,E28-G28,0))</f>
        <v>0</v>
      </c>
      <c r="L28" s="18" t="s">
        <v>19</v>
      </c>
    </row>
    <row r="29" customFormat="false" ht="19.5" hidden="false" customHeight="true" outlineLevel="0" collapsed="false">
      <c r="A29" s="19" t="s">
        <v>105</v>
      </c>
      <c r="B29" s="13"/>
      <c r="C29" s="20" t="str">
        <f aca="false">IF(B29="","",TEXT(B29,"mmmm"))</f>
        <v/>
      </c>
      <c r="D29" s="15"/>
      <c r="E29" s="21" t="str">
        <f aca="false">IF(D29="","",D29*$K$4)</f>
        <v/>
      </c>
      <c r="F29" s="15"/>
      <c r="G29" s="21" t="str">
        <f aca="false">IF(F29="","",F29*$K$4)</f>
        <v/>
      </c>
      <c r="H29" s="22" t="n">
        <f aca="false">IF(L29="Inactive",0,IF(F29&gt;D29,F29-D29,0))</f>
        <v>0</v>
      </c>
      <c r="I29" s="21" t="n">
        <f aca="false">IF(L29="Inactive",0,IF(G29&gt;E29,G29-E29,0))</f>
        <v>0</v>
      </c>
      <c r="J29" s="22" t="n">
        <f aca="false">IF(L29="Inactive",0,IF(D29&gt;F29,D29-F29,0))</f>
        <v>0</v>
      </c>
      <c r="K29" s="21" t="n">
        <f aca="false">IF(L29="Inactive",0,IF(E29&gt;G29,E29-G29,0))</f>
        <v>0</v>
      </c>
      <c r="L29" s="18" t="s">
        <v>19</v>
      </c>
    </row>
    <row r="30" customFormat="false" ht="19.5" hidden="false" customHeight="true" outlineLevel="0" collapsed="false">
      <c r="A30" s="12" t="s">
        <v>106</v>
      </c>
      <c r="B30" s="13"/>
      <c r="C30" s="14" t="str">
        <f aca="false">IF(B30="","",TEXT(B30,"mmmm"))</f>
        <v/>
      </c>
      <c r="D30" s="15"/>
      <c r="E30" s="16" t="str">
        <f aca="false">IF(D30="","",D30*$K$4)</f>
        <v/>
      </c>
      <c r="F30" s="15"/>
      <c r="G30" s="16" t="str">
        <f aca="false">IF(F30="","",F30*$K$4)</f>
        <v/>
      </c>
      <c r="H30" s="17" t="n">
        <f aca="false">IF(L30="Inactive",0,IF(F30&gt;D30,F30-D30,0))</f>
        <v>0</v>
      </c>
      <c r="I30" s="16" t="n">
        <f aca="false">IF(L30="Inactive",0,IF(G30&gt;E30,G30-E30,0))</f>
        <v>0</v>
      </c>
      <c r="J30" s="17" t="n">
        <f aca="false">IF(L30="Inactive",0,IF(D30&gt;F30,D30-F30,0))</f>
        <v>0</v>
      </c>
      <c r="K30" s="16" t="n">
        <f aca="false">IF(L30="Inactive",0,IF(E30&gt;G30,E30-G30,0))</f>
        <v>0</v>
      </c>
      <c r="L30" s="18" t="s">
        <v>19</v>
      </c>
    </row>
    <row r="31" customFormat="false" ht="19.5" hidden="false" customHeight="true" outlineLevel="0" collapsed="false">
      <c r="A31" s="19" t="s">
        <v>107</v>
      </c>
      <c r="B31" s="13"/>
      <c r="C31" s="20" t="str">
        <f aca="false">IF(B31="","",TEXT(B31,"mmmm"))</f>
        <v/>
      </c>
      <c r="D31" s="15"/>
      <c r="E31" s="21" t="str">
        <f aca="false">IF(D31="","",D31*$K$4)</f>
        <v/>
      </c>
      <c r="F31" s="15"/>
      <c r="G31" s="21" t="str">
        <f aca="false">IF(F31="","",F31*$K$4)</f>
        <v/>
      </c>
      <c r="H31" s="22" t="n">
        <f aca="false">IF(L31="Inactive",0,IF(F31&gt;D31,F31-D31,0))</f>
        <v>0</v>
      </c>
      <c r="I31" s="21" t="n">
        <f aca="false">IF(L31="Inactive",0,IF(G31&gt;E31,G31-E31,0))</f>
        <v>0</v>
      </c>
      <c r="J31" s="22" t="n">
        <f aca="false">IF(L31="Inactive",0,IF(D31&gt;F31,D31-F31,0))</f>
        <v>0</v>
      </c>
      <c r="K31" s="21" t="n">
        <f aca="false">IF(L31="Inactive",0,IF(E31&gt;G31,E31-G31,0))</f>
        <v>0</v>
      </c>
      <c r="L31" s="18" t="s">
        <v>19</v>
      </c>
    </row>
    <row r="32" customFormat="false" ht="19.5" hidden="false" customHeight="true" outlineLevel="0" collapsed="false">
      <c r="A32" s="12" t="s">
        <v>108</v>
      </c>
      <c r="B32" s="13"/>
      <c r="C32" s="14" t="str">
        <f aca="false">IF(B32="","",TEXT(B32,"mmmm"))</f>
        <v/>
      </c>
      <c r="D32" s="15"/>
      <c r="E32" s="16" t="str">
        <f aca="false">IF(D32="","",D32*$K$4)</f>
        <v/>
      </c>
      <c r="F32" s="15"/>
      <c r="G32" s="16" t="str">
        <f aca="false">IF(F32="","",F32*$K$4)</f>
        <v/>
      </c>
      <c r="H32" s="17" t="n">
        <f aca="false">IF(L32="Inactive",0,IF(F32&gt;D32,F32-D32,0))</f>
        <v>0</v>
      </c>
      <c r="I32" s="16" t="n">
        <f aca="false">IF(L32="Inactive",0,IF(G32&gt;E32,G32-E32,0))</f>
        <v>0</v>
      </c>
      <c r="J32" s="17" t="n">
        <f aca="false">IF(L32="Inactive",0,IF(D32&gt;F32,D32-F32,0))</f>
        <v>0</v>
      </c>
      <c r="K32" s="16" t="n">
        <f aca="false">IF(L32="Inactive",0,IF(E32&gt;G32,E32-G32,0))</f>
        <v>0</v>
      </c>
      <c r="L32" s="18" t="s">
        <v>19</v>
      </c>
    </row>
    <row r="33" customFormat="false" ht="19.5" hidden="false" customHeight="true" outlineLevel="0" collapsed="false">
      <c r="A33" s="19" t="s">
        <v>109</v>
      </c>
      <c r="B33" s="13"/>
      <c r="C33" s="20" t="str">
        <f aca="false">IF(B33="","",TEXT(B33,"mmmm"))</f>
        <v/>
      </c>
      <c r="D33" s="15"/>
      <c r="E33" s="21" t="str">
        <f aca="false">IF(D33="","",D33*$K$4)</f>
        <v/>
      </c>
      <c r="F33" s="15"/>
      <c r="G33" s="21" t="str">
        <f aca="false">IF(F33="","",F33*$K$4)</f>
        <v/>
      </c>
      <c r="H33" s="22" t="n">
        <f aca="false">IF(L33="Inactive",0,IF(F33&gt;D33,F33-D33,0))</f>
        <v>0</v>
      </c>
      <c r="I33" s="21" t="n">
        <f aca="false">IF(L33="Inactive",0,IF(G33&gt;E33,G33-E33,0))</f>
        <v>0</v>
      </c>
      <c r="J33" s="22" t="n">
        <f aca="false">IF(L33="Inactive",0,IF(D33&gt;F33,D33-F33,0))</f>
        <v>0</v>
      </c>
      <c r="K33" s="21" t="n">
        <f aca="false">IF(L33="Inactive",0,IF(E33&gt;G33,E33-G33,0))</f>
        <v>0</v>
      </c>
      <c r="L33" s="18" t="s">
        <v>19</v>
      </c>
    </row>
    <row r="34" customFormat="false" ht="19.5" hidden="false" customHeight="true" outlineLevel="0" collapsed="false">
      <c r="A34" s="12" t="s">
        <v>110</v>
      </c>
      <c r="B34" s="13"/>
      <c r="C34" s="14" t="str">
        <f aca="false">IF(B34="","",TEXT(B34,"mmmm"))</f>
        <v/>
      </c>
      <c r="D34" s="15"/>
      <c r="E34" s="16" t="str">
        <f aca="false">IF(D34="","",D34*$K$4)</f>
        <v/>
      </c>
      <c r="F34" s="15"/>
      <c r="G34" s="16" t="str">
        <f aca="false">IF(F34="","",F34*$K$4)</f>
        <v/>
      </c>
      <c r="H34" s="17" t="n">
        <f aca="false">IF(L34="Inactive",0,IF(F34&gt;D34,F34-D34,0))</f>
        <v>0</v>
      </c>
      <c r="I34" s="16" t="n">
        <f aca="false">IF(L34="Inactive",0,IF(G34&gt;E34,G34-E34,0))</f>
        <v>0</v>
      </c>
      <c r="J34" s="17" t="n">
        <f aca="false">IF(L34="Inactive",0,IF(D34&gt;F34,D34-F34,0))</f>
        <v>0</v>
      </c>
      <c r="K34" s="16" t="n">
        <f aca="false">IF(L34="Inactive",0,IF(E34&gt;G34,E34-G34,0))</f>
        <v>0</v>
      </c>
      <c r="L34" s="18" t="s">
        <v>19</v>
      </c>
    </row>
    <row r="35" customFormat="false" ht="19.5" hidden="false" customHeight="true" outlineLevel="0" collapsed="false">
      <c r="A35" s="19" t="s">
        <v>111</v>
      </c>
      <c r="B35" s="13"/>
      <c r="C35" s="20" t="str">
        <f aca="false">IF(B35="","",TEXT(B35,"mmmm"))</f>
        <v/>
      </c>
      <c r="D35" s="15"/>
      <c r="E35" s="21" t="str">
        <f aca="false">IF(D35="","",D35*$K$4)</f>
        <v/>
      </c>
      <c r="F35" s="15"/>
      <c r="G35" s="21" t="str">
        <f aca="false">IF(F35="","",F35*$K$4)</f>
        <v/>
      </c>
      <c r="H35" s="22" t="n">
        <f aca="false">IF(L35="Inactive",0,IF(F35&gt;D35,F35-D35,0))</f>
        <v>0</v>
      </c>
      <c r="I35" s="21" t="n">
        <f aca="false">IF(L35="Inactive",0,IF(G35&gt;E35,G35-E35,0))</f>
        <v>0</v>
      </c>
      <c r="J35" s="22" t="n">
        <f aca="false">IF(L35="Inactive",0,IF(D35&gt;F35,D35-F35,0))</f>
        <v>0</v>
      </c>
      <c r="K35" s="21" t="n">
        <f aca="false">IF(L35="Inactive",0,IF(E35&gt;G35,E35-G35,0))</f>
        <v>0</v>
      </c>
      <c r="L35" s="18" t="s">
        <v>19</v>
      </c>
    </row>
    <row r="36" customFormat="false" ht="19.5" hidden="false" customHeight="true" outlineLevel="0" collapsed="false">
      <c r="A36" s="12" t="s">
        <v>112</v>
      </c>
      <c r="B36" s="13"/>
      <c r="C36" s="14" t="str">
        <f aca="false">IF(B36="","",TEXT(B36,"mmmm"))</f>
        <v/>
      </c>
      <c r="D36" s="15"/>
      <c r="E36" s="16" t="str">
        <f aca="false">IF(D36="","",D36*$K$4)</f>
        <v/>
      </c>
      <c r="F36" s="15"/>
      <c r="G36" s="16" t="str">
        <f aca="false">IF(F36="","",F36*$K$4)</f>
        <v/>
      </c>
      <c r="H36" s="17" t="n">
        <f aca="false">IF(L36="Inactive",0,IF(F36&gt;D36,F36-D36,0))</f>
        <v>0</v>
      </c>
      <c r="I36" s="16" t="n">
        <f aca="false">IF(L36="Inactive",0,IF(G36&gt;E36,G36-E36,0))</f>
        <v>0</v>
      </c>
      <c r="J36" s="17" t="n">
        <f aca="false">IF(L36="Inactive",0,IF(D36&gt;F36,D36-F36,0))</f>
        <v>0</v>
      </c>
      <c r="K36" s="16" t="n">
        <f aca="false">IF(L36="Inactive",0,IF(E36&gt;G36,E36-G36,0))</f>
        <v>0</v>
      </c>
      <c r="L36" s="18" t="s">
        <v>19</v>
      </c>
    </row>
    <row r="37" customFormat="false" ht="19.5" hidden="false" customHeight="true" outlineLevel="0" collapsed="false">
      <c r="A37" s="19" t="s">
        <v>113</v>
      </c>
      <c r="B37" s="13"/>
      <c r="C37" s="20" t="str">
        <f aca="false">IF(B37="","",TEXT(B37,"mmmm"))</f>
        <v/>
      </c>
      <c r="D37" s="15"/>
      <c r="E37" s="21" t="str">
        <f aca="false">IF(D37="","",D37*$K$4)</f>
        <v/>
      </c>
      <c r="F37" s="15"/>
      <c r="G37" s="21" t="str">
        <f aca="false">IF(F37="","",F37*$K$4)</f>
        <v/>
      </c>
      <c r="H37" s="22" t="n">
        <f aca="false">IF(L37="Inactive",0,IF(F37&gt;D37,F37-D37,0))</f>
        <v>0</v>
      </c>
      <c r="I37" s="21" t="n">
        <f aca="false">IF(L37="Inactive",0,IF(G37&gt;E37,G37-E37,0))</f>
        <v>0</v>
      </c>
      <c r="J37" s="22" t="n">
        <f aca="false">IF(L37="Inactive",0,IF(D37&gt;F37,D37-F37,0))</f>
        <v>0</v>
      </c>
      <c r="K37" s="21" t="n">
        <f aca="false">IF(L37="Inactive",0,IF(E37&gt;G37,E37-G37,0))</f>
        <v>0</v>
      </c>
      <c r="L37" s="18" t="s">
        <v>19</v>
      </c>
    </row>
    <row r="38" customFormat="false" ht="19.5" hidden="false" customHeight="true" outlineLevel="0" collapsed="false">
      <c r="A38" s="12" t="s">
        <v>114</v>
      </c>
      <c r="B38" s="13"/>
      <c r="C38" s="14" t="str">
        <f aca="false">IF(B38="","",TEXT(B38,"mmmm"))</f>
        <v/>
      </c>
      <c r="D38" s="15"/>
      <c r="E38" s="16" t="str">
        <f aca="false">IF(D38="","",D38*$K$4)</f>
        <v/>
      </c>
      <c r="F38" s="15"/>
      <c r="G38" s="16" t="str">
        <f aca="false">IF(F38="","",F38*$K$4)</f>
        <v/>
      </c>
      <c r="H38" s="17" t="n">
        <f aca="false">IF(L38="Inactive",0,IF(F38&gt;D38,F38-D38,0))</f>
        <v>0</v>
      </c>
      <c r="I38" s="16" t="n">
        <f aca="false">IF(L38="Inactive",0,IF(G38&gt;E38,G38-E38,0))</f>
        <v>0</v>
      </c>
      <c r="J38" s="17" t="n">
        <f aca="false">IF(L38="Inactive",0,IF(D38&gt;F38,D38-F38,0))</f>
        <v>0</v>
      </c>
      <c r="K38" s="16" t="n">
        <f aca="false">IF(L38="Inactive",0,IF(E38&gt;G38,E38-G38,0))</f>
        <v>0</v>
      </c>
      <c r="L38" s="18" t="s">
        <v>19</v>
      </c>
    </row>
    <row r="39" customFormat="false" ht="19.5" hidden="false" customHeight="true" outlineLevel="0" collapsed="false">
      <c r="A39" s="19" t="s">
        <v>115</v>
      </c>
      <c r="B39" s="13"/>
      <c r="C39" s="20" t="str">
        <f aca="false">IF(B39="","",TEXT(B39,"mmmm"))</f>
        <v/>
      </c>
      <c r="D39" s="15"/>
      <c r="E39" s="21" t="str">
        <f aca="false">IF(D39="","",D39*$K$4)</f>
        <v/>
      </c>
      <c r="F39" s="15"/>
      <c r="G39" s="21" t="str">
        <f aca="false">IF(F39="","",F39*$K$4)</f>
        <v/>
      </c>
      <c r="H39" s="22" t="n">
        <f aca="false">IF(L39="Inactive",0,IF(F39&gt;D39,F39-D39,0))</f>
        <v>0</v>
      </c>
      <c r="I39" s="21" t="n">
        <f aca="false">IF(L39="Inactive",0,IF(G39&gt;E39,G39-E39,0))</f>
        <v>0</v>
      </c>
      <c r="J39" s="22" t="n">
        <f aca="false">IF(L39="Inactive",0,IF(D39&gt;F39,D39-F39,0))</f>
        <v>0</v>
      </c>
      <c r="K39" s="21" t="n">
        <f aca="false">IF(L39="Inactive",0,IF(E39&gt;G39,E39-G39,0))</f>
        <v>0</v>
      </c>
      <c r="L39" s="18" t="s">
        <v>19</v>
      </c>
    </row>
    <row r="40" customFormat="false" ht="19.5" hidden="false" customHeight="true" outlineLevel="0" collapsed="false">
      <c r="A40" s="12" t="s">
        <v>116</v>
      </c>
      <c r="B40" s="13"/>
      <c r="C40" s="14" t="str">
        <f aca="false">IF(B40="","",TEXT(B40,"mmmm"))</f>
        <v/>
      </c>
      <c r="D40" s="15"/>
      <c r="E40" s="16" t="str">
        <f aca="false">IF(D40="","",D40*$K$4)</f>
        <v/>
      </c>
      <c r="F40" s="15"/>
      <c r="G40" s="16" t="str">
        <f aca="false">IF(F40="","",F40*$K$4)</f>
        <v/>
      </c>
      <c r="H40" s="17" t="n">
        <f aca="false">IF(L40="Inactive",0,IF(F40&gt;D40,F40-D40,0))</f>
        <v>0</v>
      </c>
      <c r="I40" s="16" t="n">
        <f aca="false">IF(L40="Inactive",0,IF(G40&gt;E40,G40-E40,0))</f>
        <v>0</v>
      </c>
      <c r="J40" s="17" t="n">
        <f aca="false">IF(L40="Inactive",0,IF(D40&gt;F40,D40-F40,0))</f>
        <v>0</v>
      </c>
      <c r="K40" s="16" t="n">
        <f aca="false">IF(L40="Inactive",0,IF(E40&gt;G40,E40-G40,0))</f>
        <v>0</v>
      </c>
      <c r="L40" s="18" t="s">
        <v>19</v>
      </c>
    </row>
    <row r="41" customFormat="false" ht="19.5" hidden="false" customHeight="true" outlineLevel="0" collapsed="false">
      <c r="A41" s="19" t="s">
        <v>117</v>
      </c>
      <c r="B41" s="13"/>
      <c r="C41" s="20" t="str">
        <f aca="false">IF(B41="","",TEXT(B41,"mmmm"))</f>
        <v/>
      </c>
      <c r="D41" s="15"/>
      <c r="E41" s="21" t="str">
        <f aca="false">IF(D41="","",D41*$K$4)</f>
        <v/>
      </c>
      <c r="F41" s="15"/>
      <c r="G41" s="21" t="str">
        <f aca="false">IF(F41="","",F41*$K$4)</f>
        <v/>
      </c>
      <c r="H41" s="22" t="n">
        <f aca="false">IF(L41="Inactive",0,IF(F41&gt;D41,F41-D41,0))</f>
        <v>0</v>
      </c>
      <c r="I41" s="21" t="n">
        <f aca="false">IF(L41="Inactive",0,IF(G41&gt;E41,G41-E41,0))</f>
        <v>0</v>
      </c>
      <c r="J41" s="22" t="n">
        <f aca="false">IF(L41="Inactive",0,IF(D41&gt;F41,D41-F41,0))</f>
        <v>0</v>
      </c>
      <c r="K41" s="21" t="n">
        <f aca="false">IF(L41="Inactive",0,IF(E41&gt;G41,E41-G41,0))</f>
        <v>0</v>
      </c>
      <c r="L41" s="18" t="s">
        <v>19</v>
      </c>
    </row>
    <row r="42" customFormat="false" ht="19.5" hidden="false" customHeight="true" outlineLevel="0" collapsed="false">
      <c r="A42" s="12" t="s">
        <v>118</v>
      </c>
      <c r="B42" s="13"/>
      <c r="C42" s="14" t="str">
        <f aca="false">IF(B42="","",TEXT(B42,"mmmm"))</f>
        <v/>
      </c>
      <c r="D42" s="15"/>
      <c r="E42" s="16" t="str">
        <f aca="false">IF(D42="","",D42*$K$4)</f>
        <v/>
      </c>
      <c r="F42" s="15"/>
      <c r="G42" s="16" t="str">
        <f aca="false">IF(F42="","",F42*$K$4)</f>
        <v/>
      </c>
      <c r="H42" s="17" t="n">
        <f aca="false">IF(L42="Inactive",0,IF(F42&gt;D42,F42-D42,0))</f>
        <v>0</v>
      </c>
      <c r="I42" s="16" t="n">
        <f aca="false">IF(L42="Inactive",0,IF(G42&gt;E42,G42-E42,0))</f>
        <v>0</v>
      </c>
      <c r="J42" s="17" t="n">
        <f aca="false">IF(L42="Inactive",0,IF(D42&gt;F42,D42-F42,0))</f>
        <v>0</v>
      </c>
      <c r="K42" s="16" t="n">
        <f aca="false">IF(L42="Inactive",0,IF(E42&gt;G42,E42-G42,0))</f>
        <v>0</v>
      </c>
      <c r="L42" s="18" t="s">
        <v>19</v>
      </c>
    </row>
    <row r="43" customFormat="false" ht="19.5" hidden="false" customHeight="true" outlineLevel="0" collapsed="false">
      <c r="A43" s="19" t="s">
        <v>119</v>
      </c>
      <c r="B43" s="13"/>
      <c r="C43" s="20" t="str">
        <f aca="false">IF(B43="","",TEXT(B43,"mmmm"))</f>
        <v/>
      </c>
      <c r="D43" s="15"/>
      <c r="E43" s="21" t="str">
        <f aca="false">IF(D43="","",D43*$K$4)</f>
        <v/>
      </c>
      <c r="F43" s="15"/>
      <c r="G43" s="21" t="str">
        <f aca="false">IF(F43="","",F43*$K$4)</f>
        <v/>
      </c>
      <c r="H43" s="22" t="n">
        <f aca="false">IF(L43="Inactive",0,IF(F43&gt;D43,F43-D43,0))</f>
        <v>0</v>
      </c>
      <c r="I43" s="21" t="n">
        <f aca="false">IF(L43="Inactive",0,IF(G43&gt;E43,G43-E43,0))</f>
        <v>0</v>
      </c>
      <c r="J43" s="22" t="n">
        <f aca="false">IF(L43="Inactive",0,IF(D43&gt;F43,D43-F43,0))</f>
        <v>0</v>
      </c>
      <c r="K43" s="21" t="n">
        <f aca="false">IF(L43="Inactive",0,IF(E43&gt;G43,E43-G43,0))</f>
        <v>0</v>
      </c>
      <c r="L43" s="18" t="s">
        <v>19</v>
      </c>
    </row>
    <row r="44" customFormat="false" ht="19.5" hidden="false" customHeight="true" outlineLevel="0" collapsed="false">
      <c r="A44" s="12" t="s">
        <v>120</v>
      </c>
      <c r="B44" s="13"/>
      <c r="C44" s="14" t="str">
        <f aca="false">IF(B44="","",TEXT(B44,"mmmm"))</f>
        <v/>
      </c>
      <c r="D44" s="15"/>
      <c r="E44" s="16" t="str">
        <f aca="false">IF(D44="","",D44*$K$4)</f>
        <v/>
      </c>
      <c r="F44" s="15"/>
      <c r="G44" s="16" t="str">
        <f aca="false">IF(F44="","",F44*$K$4)</f>
        <v/>
      </c>
      <c r="H44" s="17" t="n">
        <f aca="false">IF(L44="Inactive",0,IF(F44&gt;D44,F44-D44,0))</f>
        <v>0</v>
      </c>
      <c r="I44" s="16" t="n">
        <f aca="false">IF(L44="Inactive",0,IF(G44&gt;E44,G44-E44,0))</f>
        <v>0</v>
      </c>
      <c r="J44" s="17" t="n">
        <f aca="false">IF(L44="Inactive",0,IF(D44&gt;F44,D44-F44,0))</f>
        <v>0</v>
      </c>
      <c r="K44" s="16" t="n">
        <f aca="false">IF(L44="Inactive",0,IF(E44&gt;G44,E44-G44,0))</f>
        <v>0</v>
      </c>
      <c r="L44" s="18" t="s">
        <v>19</v>
      </c>
    </row>
    <row r="45" customFormat="false" ht="19.5" hidden="false" customHeight="true" outlineLevel="0" collapsed="false">
      <c r="A45" s="19" t="s">
        <v>121</v>
      </c>
      <c r="B45" s="13"/>
      <c r="C45" s="20" t="str">
        <f aca="false">IF(B45="","",TEXT(B45,"mmmm"))</f>
        <v/>
      </c>
      <c r="D45" s="15"/>
      <c r="E45" s="21" t="str">
        <f aca="false">IF(D45="","",D45*$K$4)</f>
        <v/>
      </c>
      <c r="F45" s="15"/>
      <c r="G45" s="21" t="str">
        <f aca="false">IF(F45="","",F45*$K$4)</f>
        <v/>
      </c>
      <c r="H45" s="22" t="n">
        <f aca="false">IF(L45="Inactive",0,IF(F45&gt;D45,F45-D45,0))</f>
        <v>0</v>
      </c>
      <c r="I45" s="21" t="n">
        <f aca="false">IF(L45="Inactive",0,IF(G45&gt;E45,G45-E45,0))</f>
        <v>0</v>
      </c>
      <c r="J45" s="22" t="n">
        <f aca="false">IF(L45="Inactive",0,IF(D45&gt;F45,D45-F45,0))</f>
        <v>0</v>
      </c>
      <c r="K45" s="21" t="n">
        <f aca="false">IF(L45="Inactive",0,IF(E45&gt;G45,E45-G45,0))</f>
        <v>0</v>
      </c>
      <c r="L45" s="18" t="s">
        <v>19</v>
      </c>
    </row>
    <row r="46" customFormat="false" ht="19.5" hidden="false" customHeight="true" outlineLevel="0" collapsed="false">
      <c r="A46" s="12" t="s">
        <v>122</v>
      </c>
      <c r="B46" s="13"/>
      <c r="C46" s="14" t="str">
        <f aca="false">IF(B46="","",TEXT(B46,"mmmm"))</f>
        <v/>
      </c>
      <c r="D46" s="15"/>
      <c r="E46" s="16" t="str">
        <f aca="false">IF(D46="","",D46*$K$4)</f>
        <v/>
      </c>
      <c r="F46" s="15"/>
      <c r="G46" s="16" t="str">
        <f aca="false">IF(F46="","",F46*$K$4)</f>
        <v/>
      </c>
      <c r="H46" s="17" t="n">
        <f aca="false">IF(L46="Inactive",0,IF(F46&gt;D46,F46-D46,0))</f>
        <v>0</v>
      </c>
      <c r="I46" s="16" t="n">
        <f aca="false">IF(L46="Inactive",0,IF(G46&gt;E46,G46-E46,0))</f>
        <v>0</v>
      </c>
      <c r="J46" s="17" t="n">
        <f aca="false">IF(L46="Inactive",0,IF(D46&gt;F46,D46-F46,0))</f>
        <v>0</v>
      </c>
      <c r="K46" s="16" t="n">
        <f aca="false">IF(L46="Inactive",0,IF(E46&gt;G46,E46-G46,0))</f>
        <v>0</v>
      </c>
      <c r="L46" s="18" t="s">
        <v>19</v>
      </c>
    </row>
    <row r="47" customFormat="false" ht="19.5" hidden="false" customHeight="true" outlineLevel="0" collapsed="false">
      <c r="A47" s="19" t="s">
        <v>123</v>
      </c>
      <c r="B47" s="13"/>
      <c r="C47" s="20" t="str">
        <f aca="false">IF(B47="","",TEXT(B47,"mmmm"))</f>
        <v/>
      </c>
      <c r="D47" s="15"/>
      <c r="E47" s="21" t="str">
        <f aca="false">IF(D47="","",D47*$K$4)</f>
        <v/>
      </c>
      <c r="F47" s="15"/>
      <c r="G47" s="21" t="str">
        <f aca="false">IF(F47="","",F47*$K$4)</f>
        <v/>
      </c>
      <c r="H47" s="22" t="n">
        <f aca="false">IF(L47="Inactive",0,IF(F47&gt;D47,F47-D47,0))</f>
        <v>0</v>
      </c>
      <c r="I47" s="21" t="n">
        <f aca="false">IF(L47="Inactive",0,IF(G47&gt;E47,G47-E47,0))</f>
        <v>0</v>
      </c>
      <c r="J47" s="22" t="n">
        <f aca="false">IF(L47="Inactive",0,IF(D47&gt;F47,D47-F47,0))</f>
        <v>0</v>
      </c>
      <c r="K47" s="21" t="n">
        <f aca="false">IF(L47="Inactive",0,IF(E47&gt;G47,E47-G47,0))</f>
        <v>0</v>
      </c>
      <c r="L47" s="18" t="s">
        <v>19</v>
      </c>
    </row>
    <row r="48" customFormat="false" ht="19.5" hidden="false" customHeight="true" outlineLevel="0" collapsed="false">
      <c r="A48" s="12" t="s">
        <v>124</v>
      </c>
      <c r="B48" s="13"/>
      <c r="C48" s="14" t="str">
        <f aca="false">IF(B48="","",TEXT(B48,"mmmm"))</f>
        <v/>
      </c>
      <c r="D48" s="15"/>
      <c r="E48" s="16" t="str">
        <f aca="false">IF(D48="","",D48*$K$4)</f>
        <v/>
      </c>
      <c r="F48" s="15"/>
      <c r="G48" s="16" t="str">
        <f aca="false">IF(F48="","",F48*$K$4)</f>
        <v/>
      </c>
      <c r="H48" s="17" t="n">
        <f aca="false">IF(L48="Inactive",0,IF(F48&gt;D48,F48-D48,0))</f>
        <v>0</v>
      </c>
      <c r="I48" s="16" t="n">
        <f aca="false">IF(L48="Inactive",0,IF(G48&gt;E48,G48-E48,0))</f>
        <v>0</v>
      </c>
      <c r="J48" s="17" t="n">
        <f aca="false">IF(L48="Inactive",0,IF(D48&gt;F48,D48-F48,0))</f>
        <v>0</v>
      </c>
      <c r="K48" s="16" t="n">
        <f aca="false">IF(L48="Inactive",0,IF(E48&gt;G48,E48-G48,0))</f>
        <v>0</v>
      </c>
      <c r="L48" s="18" t="s">
        <v>19</v>
      </c>
    </row>
    <row r="49" customFormat="false" ht="19.5" hidden="false" customHeight="true" outlineLevel="0" collapsed="false">
      <c r="A49" s="19" t="s">
        <v>125</v>
      </c>
      <c r="B49" s="13"/>
      <c r="C49" s="20" t="str">
        <f aca="false">IF(B49="","",TEXT(B49,"mmmm"))</f>
        <v/>
      </c>
      <c r="D49" s="15"/>
      <c r="E49" s="21" t="str">
        <f aca="false">IF(D49="","",D49*$K$4)</f>
        <v/>
      </c>
      <c r="F49" s="15"/>
      <c r="G49" s="21" t="str">
        <f aca="false">IF(F49="","",F49*$K$4)</f>
        <v/>
      </c>
      <c r="H49" s="22" t="n">
        <f aca="false">IF(L49="Inactive",0,IF(F49&gt;D49,F49-D49,0))</f>
        <v>0</v>
      </c>
      <c r="I49" s="21" t="n">
        <f aca="false">IF(L49="Inactive",0,IF(G49&gt;E49,G49-E49,0))</f>
        <v>0</v>
      </c>
      <c r="J49" s="22" t="n">
        <f aca="false">IF(L49="Inactive",0,IF(D49&gt;F49,D49-F49,0))</f>
        <v>0</v>
      </c>
      <c r="K49" s="21" t="n">
        <f aca="false">IF(L49="Inactive",0,IF(E49&gt;G49,E49-G49,0))</f>
        <v>0</v>
      </c>
      <c r="L49" s="18" t="s">
        <v>19</v>
      </c>
    </row>
    <row r="50" customFormat="false" ht="19.5" hidden="false" customHeight="true" outlineLevel="0" collapsed="false">
      <c r="A50" s="12" t="s">
        <v>126</v>
      </c>
      <c r="B50" s="13"/>
      <c r="C50" s="14" t="str">
        <f aca="false">IF(B50="","",TEXT(B50,"mmmm"))</f>
        <v/>
      </c>
      <c r="D50" s="15"/>
      <c r="E50" s="16" t="str">
        <f aca="false">IF(D50="","",D50*$K$4)</f>
        <v/>
      </c>
      <c r="F50" s="15"/>
      <c r="G50" s="16" t="str">
        <f aca="false">IF(F50="","",F50*$K$4)</f>
        <v/>
      </c>
      <c r="H50" s="17" t="n">
        <f aca="false">IF(L50="Inactive",0,IF(F50&gt;D50,F50-D50,0))</f>
        <v>0</v>
      </c>
      <c r="I50" s="16" t="n">
        <f aca="false">IF(L50="Inactive",0,IF(G50&gt;E50,G50-E50,0))</f>
        <v>0</v>
      </c>
      <c r="J50" s="17" t="n">
        <f aca="false">IF(L50="Inactive",0,IF(D50&gt;F50,D50-F50,0))</f>
        <v>0</v>
      </c>
      <c r="K50" s="16" t="n">
        <f aca="false">IF(L50="Inactive",0,IF(E50&gt;G50,E50-G50,0))</f>
        <v>0</v>
      </c>
      <c r="L50" s="18" t="s">
        <v>19</v>
      </c>
    </row>
    <row r="51" customFormat="false" ht="19.5" hidden="false" customHeight="true" outlineLevel="0" collapsed="false">
      <c r="A51" s="19" t="s">
        <v>127</v>
      </c>
      <c r="B51" s="13"/>
      <c r="C51" s="20" t="str">
        <f aca="false">IF(B51="","",TEXT(B51,"mmmm"))</f>
        <v/>
      </c>
      <c r="D51" s="15"/>
      <c r="E51" s="21" t="str">
        <f aca="false">IF(D51="","",D51*$K$4)</f>
        <v/>
      </c>
      <c r="F51" s="15"/>
      <c r="G51" s="21" t="str">
        <f aca="false">IF(F51="","",F51*$K$4)</f>
        <v/>
      </c>
      <c r="H51" s="22" t="n">
        <f aca="false">IF(L51="Inactive",0,IF(F51&gt;D51,F51-D51,0))</f>
        <v>0</v>
      </c>
      <c r="I51" s="21" t="n">
        <f aca="false">IF(L51="Inactive",0,IF(G51&gt;E51,G51-E51,0))</f>
        <v>0</v>
      </c>
      <c r="J51" s="22" t="n">
        <f aca="false">IF(L51="Inactive",0,IF(D51&gt;F51,D51-F51,0))</f>
        <v>0</v>
      </c>
      <c r="K51" s="21" t="n">
        <f aca="false">IF(L51="Inactive",0,IF(E51&gt;G51,E51-G51,0))</f>
        <v>0</v>
      </c>
      <c r="L51" s="18" t="s">
        <v>19</v>
      </c>
    </row>
    <row r="52" customFormat="false" ht="19.5" hidden="false" customHeight="true" outlineLevel="0" collapsed="false">
      <c r="A52" s="12" t="s">
        <v>128</v>
      </c>
      <c r="B52" s="13"/>
      <c r="C52" s="14" t="str">
        <f aca="false">IF(B52="","",TEXT(B52,"mmmm"))</f>
        <v/>
      </c>
      <c r="D52" s="15"/>
      <c r="E52" s="16" t="str">
        <f aca="false">IF(D52="","",D52*$K$4)</f>
        <v/>
      </c>
      <c r="F52" s="15"/>
      <c r="G52" s="16" t="str">
        <f aca="false">IF(F52="","",F52*$K$4)</f>
        <v/>
      </c>
      <c r="H52" s="17" t="n">
        <f aca="false">IF(L52="Inactive",0,IF(F52&gt;D52,F52-D52,0))</f>
        <v>0</v>
      </c>
      <c r="I52" s="16" t="n">
        <f aca="false">IF(L52="Inactive",0,IF(G52&gt;E52,G52-E52,0))</f>
        <v>0</v>
      </c>
      <c r="J52" s="17" t="n">
        <f aca="false">IF(L52="Inactive",0,IF(D52&gt;F52,D52-F52,0))</f>
        <v>0</v>
      </c>
      <c r="K52" s="16" t="n">
        <f aca="false">IF(L52="Inactive",0,IF(E52&gt;G52,E52-G52,0))</f>
        <v>0</v>
      </c>
      <c r="L52" s="18" t="s">
        <v>19</v>
      </c>
    </row>
    <row r="53" customFormat="false" ht="19.5" hidden="false" customHeight="true" outlineLevel="0" collapsed="false">
      <c r="A53" s="19" t="s">
        <v>129</v>
      </c>
      <c r="B53" s="13"/>
      <c r="C53" s="20" t="str">
        <f aca="false">IF(B53="","",TEXT(B53,"mmmm"))</f>
        <v/>
      </c>
      <c r="D53" s="15"/>
      <c r="E53" s="21" t="str">
        <f aca="false">IF(D53="","",D53*$K$4)</f>
        <v/>
      </c>
      <c r="F53" s="15"/>
      <c r="G53" s="21" t="str">
        <f aca="false">IF(F53="","",F53*$K$4)</f>
        <v/>
      </c>
      <c r="H53" s="22" t="n">
        <f aca="false">IF(L53="Inactive",0,IF(F53&gt;D53,F53-D53,0))</f>
        <v>0</v>
      </c>
      <c r="I53" s="21" t="n">
        <f aca="false">IF(L53="Inactive",0,IF(G53&gt;E53,G53-E53,0))</f>
        <v>0</v>
      </c>
      <c r="J53" s="22" t="n">
        <f aca="false">IF(L53="Inactive",0,IF(D53&gt;F53,D53-F53,0))</f>
        <v>0</v>
      </c>
      <c r="K53" s="21" t="n">
        <f aca="false">IF(L53="Inactive",0,IF(E53&gt;G53,E53-G53,0))</f>
        <v>0</v>
      </c>
      <c r="L53" s="18" t="s">
        <v>19</v>
      </c>
    </row>
    <row r="54" customFormat="false" ht="19.5" hidden="false" customHeight="true" outlineLevel="0" collapsed="false">
      <c r="A54" s="12" t="s">
        <v>130</v>
      </c>
      <c r="B54" s="13"/>
      <c r="C54" s="14" t="str">
        <f aca="false">IF(B54="","",TEXT(B54,"mmmm"))</f>
        <v/>
      </c>
      <c r="D54" s="15"/>
      <c r="E54" s="16" t="str">
        <f aca="false">IF(D54="","",D54*$K$4)</f>
        <v/>
      </c>
      <c r="F54" s="15"/>
      <c r="G54" s="16" t="str">
        <f aca="false">IF(F54="","",F54*$K$4)</f>
        <v/>
      </c>
      <c r="H54" s="17" t="n">
        <f aca="false">IF(L54="Inactive",0,IF(F54&gt;D54,F54-D54,0))</f>
        <v>0</v>
      </c>
      <c r="I54" s="16" t="n">
        <f aca="false">IF(L54="Inactive",0,IF(G54&gt;E54,G54-E54,0))</f>
        <v>0</v>
      </c>
      <c r="J54" s="17" t="n">
        <f aca="false">IF(L54="Inactive",0,IF(D54&gt;F54,D54-F54,0))</f>
        <v>0</v>
      </c>
      <c r="K54" s="16" t="n">
        <f aca="false">IF(L54="Inactive",0,IF(E54&gt;G54,E54-G54,0))</f>
        <v>0</v>
      </c>
      <c r="L54" s="18" t="s">
        <v>19</v>
      </c>
    </row>
    <row r="55" customFormat="false" ht="19.5" hidden="false" customHeight="true" outlineLevel="0" collapsed="false">
      <c r="A55" s="19" t="s">
        <v>131</v>
      </c>
      <c r="B55" s="13"/>
      <c r="C55" s="20" t="str">
        <f aca="false">IF(B55="","",TEXT(B55,"mmmm"))</f>
        <v/>
      </c>
      <c r="D55" s="15"/>
      <c r="E55" s="21" t="str">
        <f aca="false">IF(D55="","",D55*$K$4)</f>
        <v/>
      </c>
      <c r="F55" s="15"/>
      <c r="G55" s="21" t="str">
        <f aca="false">IF(F55="","",F55*$K$4)</f>
        <v/>
      </c>
      <c r="H55" s="22" t="n">
        <f aca="false">IF(L55="Inactive",0,IF(F55&gt;D55,F55-D55,0))</f>
        <v>0</v>
      </c>
      <c r="I55" s="21" t="n">
        <f aca="false">IF(L55="Inactive",0,IF(G55&gt;E55,G55-E55,0))</f>
        <v>0</v>
      </c>
      <c r="J55" s="22" t="n">
        <f aca="false">IF(L55="Inactive",0,IF(D55&gt;F55,D55-F55,0))</f>
        <v>0</v>
      </c>
      <c r="K55" s="21" t="n">
        <f aca="false">IF(L55="Inactive",0,IF(E55&gt;G55,E55-G55,0))</f>
        <v>0</v>
      </c>
      <c r="L55" s="18" t="s">
        <v>19</v>
      </c>
    </row>
    <row r="56" customFormat="false" ht="19.5" hidden="false" customHeight="true" outlineLevel="0" collapsed="false">
      <c r="A56" s="12" t="s">
        <v>132</v>
      </c>
      <c r="B56" s="13"/>
      <c r="C56" s="14" t="str">
        <f aca="false">IF(B56="","",TEXT(B56,"mmmm"))</f>
        <v/>
      </c>
      <c r="D56" s="15"/>
      <c r="E56" s="16" t="str">
        <f aca="false">IF(D56="","",D56*$K$4)</f>
        <v/>
      </c>
      <c r="F56" s="15"/>
      <c r="G56" s="16" t="str">
        <f aca="false">IF(F56="","",F56*$K$4)</f>
        <v/>
      </c>
      <c r="H56" s="17" t="n">
        <f aca="false">IF(L56="Inactive",0,IF(F56&gt;D56,F56-D56,0))</f>
        <v>0</v>
      </c>
      <c r="I56" s="16" t="n">
        <f aca="false">IF(L56="Inactive",0,IF(G56&gt;E56,G56-E56,0))</f>
        <v>0</v>
      </c>
      <c r="J56" s="17" t="n">
        <f aca="false">IF(L56="Inactive",0,IF(D56&gt;F56,D56-F56,0))</f>
        <v>0</v>
      </c>
      <c r="K56" s="16" t="n">
        <f aca="false">IF(L56="Inactive",0,IF(E56&gt;G56,E56-G56,0))</f>
        <v>0</v>
      </c>
      <c r="L56" s="18" t="s">
        <v>19</v>
      </c>
    </row>
    <row r="57" customFormat="false" ht="19.5" hidden="false" customHeight="true" outlineLevel="0" collapsed="false">
      <c r="A57" s="19" t="s">
        <v>133</v>
      </c>
      <c r="B57" s="13"/>
      <c r="C57" s="20" t="str">
        <f aca="false">IF(B57="","",TEXT(B57,"mmmm"))</f>
        <v/>
      </c>
      <c r="D57" s="15"/>
      <c r="E57" s="21" t="str">
        <f aca="false">IF(D57="","",D57*$K$4)</f>
        <v/>
      </c>
      <c r="F57" s="15"/>
      <c r="G57" s="21" t="str">
        <f aca="false">IF(F57="","",F57*$K$4)</f>
        <v/>
      </c>
      <c r="H57" s="22" t="n">
        <f aca="false">IF(L57="Inactive",0,IF(F57&gt;D57,F57-D57,0))</f>
        <v>0</v>
      </c>
      <c r="I57" s="21" t="n">
        <f aca="false">IF(L57="Inactive",0,IF(G57&gt;E57,G57-E57,0))</f>
        <v>0</v>
      </c>
      <c r="J57" s="22" t="n">
        <f aca="false">IF(L57="Inactive",0,IF(D57&gt;F57,D57-F57,0))</f>
        <v>0</v>
      </c>
      <c r="K57" s="21" t="n">
        <f aca="false">IF(L57="Inactive",0,IF(E57&gt;G57,E57-G57,0))</f>
        <v>0</v>
      </c>
      <c r="L57" s="18" t="s">
        <v>19</v>
      </c>
    </row>
    <row r="58" customFormat="false" ht="24" hidden="false" customHeight="true" outlineLevel="0" collapsed="false">
      <c r="A58" s="23" t="s">
        <v>69</v>
      </c>
      <c r="B58" s="23"/>
      <c r="C58" s="23"/>
      <c r="D58" s="24" t="n">
        <f aca="false">SUM(D8:D57)</f>
        <v>0</v>
      </c>
      <c r="E58" s="24" t="n">
        <f aca="false">SUM(E8:E57)</f>
        <v>0</v>
      </c>
      <c r="F58" s="24" t="n">
        <f aca="false">SUM(F8:F57)</f>
        <v>0</v>
      </c>
      <c r="G58" s="24" t="n">
        <f aca="false">SUM(G8:G57)</f>
        <v>0</v>
      </c>
      <c r="H58" s="24" t="n">
        <f aca="false">SUM(H8:H57)</f>
        <v>0</v>
      </c>
      <c r="I58" s="24" t="n">
        <f aca="false">SUM(I8:I57)</f>
        <v>0</v>
      </c>
      <c r="J58" s="24" t="n">
        <f aca="false">SUM(J8:J57)</f>
        <v>0</v>
      </c>
      <c r="K58" s="24" t="n">
        <f aca="false">SUM(K8:K57)</f>
        <v>0</v>
      </c>
      <c r="L58" s="25"/>
    </row>
    <row r="59" customFormat="false" ht="12" hidden="false" customHeight="true" outlineLevel="0" collapsed="false"/>
    <row r="60" customFormat="false" ht="13.5" hidden="false" customHeight="true" outlineLevel="0" collapsed="false">
      <c r="A60" s="26" t="s">
        <v>70</v>
      </c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</row>
    <row r="61" customFormat="false" ht="18" hidden="false" customHeight="true" outlineLevel="0" collapsed="false">
      <c r="A61" s="27" t="s">
        <v>71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</row>
    <row r="62" customFormat="false" ht="27.75" hidden="false" customHeight="true" outlineLevel="0" collapsed="false">
      <c r="A62" s="28" t="s">
        <v>72</v>
      </c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</row>
    <row r="63" customFormat="false" ht="18" hidden="false" customHeight="true" outlineLevel="0" collapsed="false">
      <c r="A63" s="27" t="s">
        <v>73</v>
      </c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</row>
    <row r="64" customFormat="false" ht="27.75" hidden="false" customHeight="true" outlineLevel="0" collapsed="false">
      <c r="A64" s="28" t="s">
        <v>74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</row>
    <row r="65" customFormat="false" ht="18" hidden="false" customHeight="true" outlineLevel="0" collapsed="false">
      <c r="A65" s="27" t="s">
        <v>75</v>
      </c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</row>
    <row r="66" customFormat="false" ht="27.75" hidden="false" customHeight="true" outlineLevel="0" collapsed="false">
      <c r="A66" s="28" t="s">
        <v>76</v>
      </c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</row>
    <row r="67" customFormat="false" ht="18" hidden="false" customHeight="true" outlineLevel="0" collapsed="false">
      <c r="A67" s="27" t="s">
        <v>77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</row>
    <row r="68" customFormat="false" ht="27.75" hidden="false" customHeight="true" outlineLevel="0" collapsed="false">
      <c r="A68" s="28" t="s">
        <v>78</v>
      </c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</row>
    <row r="69" customFormat="false" ht="18" hidden="false" customHeight="true" outlineLevel="0" collapsed="false">
      <c r="A69" s="27" t="s">
        <v>79</v>
      </c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</row>
    <row r="70" customFormat="false" ht="27.75" hidden="false" customHeight="true" outlineLevel="0" collapsed="false">
      <c r="A70" s="28" t="s">
        <v>80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</row>
    <row r="71" customFormat="false" ht="18" hidden="false" customHeight="true" outlineLevel="0" collapsed="false">
      <c r="A71" s="27" t="s">
        <v>81</v>
      </c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</row>
    <row r="72" customFormat="false" ht="27.75" hidden="false" customHeight="true" outlineLevel="0" collapsed="false">
      <c r="A72" s="28" t="s">
        <v>82</v>
      </c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</row>
  </sheetData>
  <mergeCells count="18">
    <mergeCell ref="A1:L3"/>
    <mergeCell ref="A4:I4"/>
    <mergeCell ref="A5:B5"/>
    <mergeCell ref="C5:D5"/>
    <mergeCell ref="A58:C58"/>
    <mergeCell ref="A60:L60"/>
    <mergeCell ref="A61:L61"/>
    <mergeCell ref="A62:L62"/>
    <mergeCell ref="A63:L63"/>
    <mergeCell ref="A64:L64"/>
    <mergeCell ref="A65:L65"/>
    <mergeCell ref="A66:L66"/>
    <mergeCell ref="A67:L67"/>
    <mergeCell ref="A68:L68"/>
    <mergeCell ref="A69:L69"/>
    <mergeCell ref="A70:L70"/>
    <mergeCell ref="A71:L71"/>
    <mergeCell ref="A72:L72"/>
  </mergeCells>
  <conditionalFormatting sqref="L8:L57">
    <cfRule type="cellIs" priority="2" operator="equal" aboveAverage="0" equalAverage="0" bottom="0" percent="0" rank="0" text="" dxfId="0">
      <formula>"Active"</formula>
    </cfRule>
    <cfRule type="cellIs" priority="3" operator="equal" aboveAverage="0" equalAverage="0" bottom="0" percent="0" rank="0" text="" dxfId="1">
      <formula>"Inactive"</formula>
    </cfRule>
  </conditionalFormatting>
  <dataValidations count="2">
    <dataValidation allowBlank="true" error="Invalid Product ID" errorStyle="stop" errorTitle="Selection Error" operator="between" prompt="Choose a Product ID" promptTitle="Quick-View Lookup" showDropDown="false" showErrorMessage="false" showInputMessage="false" sqref="C5" type="list">
      <formula1>"DBZ1,DBZ2,DBZ3,DBZ4,DBZ5,DBZ6,DBZ7,DBZ8,DBZ9,DBZ10,DBZ11,DBZ12,DBZ13,DBZ14,DBZ15,DBZ16,DBZ17,DBZ18,DBZ19,DBZ20,DBZ21,DBZ22,DBZ23,DBZ24,DBZ25,DBZ26,DBZ27,DBZ28,DBZ29,DBZ30,DBZ31,DBZ32,DBZ33,DBZ34,DBZ35,DBZ36,DBZ37,DBZ38,DBZ39,DBZ40,DBZ41,DBZ42,DBZ43,DBZ44"</formula1>
      <formula2>0</formula2>
    </dataValidation>
    <dataValidation allowBlank="false" error="Please choose Active or Inactive" errorStyle="stop" errorTitle="Invalid Entry" operator="between" prompt="Select stock status" promptTitle="Stock Status" showDropDown="false" showErrorMessage="false" showInputMessage="false" sqref="L8:L57" type="list">
      <formula1>"Active,Inactive"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6"/>
    <col collapsed="false" customWidth="true" hidden="false" outlineLevel="0" max="3" min="3" style="1" width="18"/>
    <col collapsed="false" customWidth="true" hidden="false" outlineLevel="0" max="5" min="4" style="1" width="20"/>
    <col collapsed="false" customWidth="true" hidden="false" outlineLevel="0" max="7" min="6" style="1" width="18"/>
    <col collapsed="false" customWidth="true" hidden="false" outlineLevel="0" max="9" min="8" style="1" width="16"/>
    <col collapsed="false" customWidth="true" hidden="false" outlineLevel="0" max="12" min="10" style="1" width="14"/>
  </cols>
  <sheetData>
    <row r="1" customFormat="false" ht="9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30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9.7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27.75" hidden="false" customHeight="true" outlineLevel="0" collapsed="false">
      <c r="A4" s="3" t="s">
        <v>134</v>
      </c>
      <c r="B4" s="3"/>
      <c r="C4" s="3"/>
      <c r="D4" s="3"/>
      <c r="E4" s="3"/>
      <c r="F4" s="3"/>
      <c r="G4" s="3"/>
      <c r="H4" s="3"/>
      <c r="I4" s="3"/>
      <c r="J4" s="4" t="s">
        <v>2</v>
      </c>
      <c r="K4" s="5" t="n">
        <v>0.37</v>
      </c>
      <c r="L4" s="6" t="s">
        <v>3</v>
      </c>
    </row>
    <row r="5" customFormat="false" ht="31.5" hidden="false" customHeight="true" outlineLevel="0" collapsed="false">
      <c r="A5" s="7" t="s">
        <v>4</v>
      </c>
      <c r="B5" s="7"/>
      <c r="C5" s="8" t="s">
        <v>5</v>
      </c>
      <c r="D5" s="8"/>
      <c r="E5" s="9" t="str">
        <f aca="false">IFERROR(VLOOKUP(C5,A8:L57,4,0),"")</f>
        <v/>
      </c>
      <c r="F5" s="9" t="str">
        <f aca="false">IFERROR(VLOOKUP(C5,A8:L57,5,0),"")</f>
        <v/>
      </c>
      <c r="G5" s="9" t="str">
        <f aca="false">IFERROR(VLOOKUP(C5,A8:L57,6,0),"")</f>
        <v/>
      </c>
      <c r="H5" s="9" t="str">
        <f aca="false">IFERROR(VLOOKUP(C5,A8:L57,7,0),"")</f>
        <v/>
      </c>
      <c r="I5" s="9" t="str">
        <f aca="false">IFERROR(VLOOKUP(C5,A8:L57,8,0),"")</f>
        <v/>
      </c>
      <c r="J5" s="9" t="str">
        <f aca="false">IFERROR(VLOOKUP(C5,A8:L57,9,0),"")</f>
        <v/>
      </c>
      <c r="K5" s="9" t="str">
        <f aca="false">IFERROR(VLOOKUP(C5,A8:L57,10,0),"")</f>
        <v/>
      </c>
      <c r="L5" s="9" t="str">
        <f aca="false">IFERROR(VLOOKUP(C5,A8:L57,11,0),"")</f>
        <v/>
      </c>
    </row>
    <row r="6" customFormat="false" ht="9.75" hidden="false" customHeight="true" outlineLevel="0" collapsed="false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customFormat="false" ht="36" hidden="false" customHeight="true" outlineLevel="0" collapsed="false">
      <c r="A7" s="11" t="s">
        <v>6</v>
      </c>
      <c r="B7" s="11" t="s">
        <v>7</v>
      </c>
      <c r="C7" s="11" t="s">
        <v>8</v>
      </c>
      <c r="D7" s="11" t="s">
        <v>9</v>
      </c>
      <c r="E7" s="11" t="s">
        <v>10</v>
      </c>
      <c r="F7" s="11" t="s">
        <v>11</v>
      </c>
      <c r="G7" s="11" t="s">
        <v>12</v>
      </c>
      <c r="H7" s="11" t="s">
        <v>13</v>
      </c>
      <c r="I7" s="11" t="s">
        <v>14</v>
      </c>
      <c r="J7" s="11" t="s">
        <v>15</v>
      </c>
      <c r="K7" s="11" t="s">
        <v>16</v>
      </c>
      <c r="L7" s="11" t="s">
        <v>17</v>
      </c>
    </row>
    <row r="8" customFormat="false" ht="19.5" hidden="false" customHeight="true" outlineLevel="0" collapsed="false">
      <c r="A8" s="12" t="s">
        <v>135</v>
      </c>
      <c r="B8" s="13"/>
      <c r="C8" s="14" t="str">
        <f aca="false">IF(B8="","",TEXT(B8,"mmmm"))</f>
        <v/>
      </c>
      <c r="D8" s="15"/>
      <c r="E8" s="16" t="str">
        <f aca="false">IF(D8="","",D8*$K$4)</f>
        <v/>
      </c>
      <c r="F8" s="15"/>
      <c r="G8" s="16" t="str">
        <f aca="false">IF(F8="","",F8*$K$4)</f>
        <v/>
      </c>
      <c r="H8" s="17" t="n">
        <f aca="false">IF(L8="Inactive",0,IF(F8&gt;D8,F8-D8,0))</f>
        <v>0</v>
      </c>
      <c r="I8" s="16" t="n">
        <f aca="false">IF(L8="Inactive",0,IF(G8&gt;E8,G8-E8,0))</f>
        <v>0</v>
      </c>
      <c r="J8" s="17" t="n">
        <f aca="false">IF(L8="Inactive",0,IF(D8&gt;F8,D8-F8,0))</f>
        <v>0</v>
      </c>
      <c r="K8" s="16" t="n">
        <f aca="false">IF(L8="Inactive",0,IF(E8&gt;G8,E8-G8,0))</f>
        <v>0</v>
      </c>
      <c r="L8" s="18" t="s">
        <v>19</v>
      </c>
    </row>
    <row r="9" customFormat="false" ht="19.5" hidden="false" customHeight="true" outlineLevel="0" collapsed="false">
      <c r="A9" s="19" t="s">
        <v>136</v>
      </c>
      <c r="B9" s="13"/>
      <c r="C9" s="20" t="str">
        <f aca="false">IF(B9="","",TEXT(B9,"mmmm"))</f>
        <v/>
      </c>
      <c r="D9" s="15"/>
      <c r="E9" s="21" t="str">
        <f aca="false">IF(D9="","",D9*$K$4)</f>
        <v/>
      </c>
      <c r="F9" s="15"/>
      <c r="G9" s="21" t="str">
        <f aca="false">IF(F9="","",F9*$K$4)</f>
        <v/>
      </c>
      <c r="H9" s="22" t="n">
        <f aca="false">IF(L9="Inactive",0,IF(F9&gt;D9,F9-D9,0))</f>
        <v>0</v>
      </c>
      <c r="I9" s="21" t="n">
        <f aca="false">IF(L9="Inactive",0,IF(G9&gt;E9,G9-E9,0))</f>
        <v>0</v>
      </c>
      <c r="J9" s="22" t="n">
        <f aca="false">IF(L9="Inactive",0,IF(D9&gt;F9,D9-F9,0))</f>
        <v>0</v>
      </c>
      <c r="K9" s="21" t="n">
        <f aca="false">IF(L9="Inactive",0,IF(E9&gt;G9,E9-G9,0))</f>
        <v>0</v>
      </c>
      <c r="L9" s="18" t="s">
        <v>19</v>
      </c>
    </row>
    <row r="10" customFormat="false" ht="19.5" hidden="false" customHeight="true" outlineLevel="0" collapsed="false">
      <c r="A10" s="12" t="s">
        <v>137</v>
      </c>
      <c r="B10" s="13"/>
      <c r="C10" s="14" t="str">
        <f aca="false">IF(B10="","",TEXT(B10,"mmmm"))</f>
        <v/>
      </c>
      <c r="D10" s="15"/>
      <c r="E10" s="16" t="str">
        <f aca="false">IF(D10="","",D10*$K$4)</f>
        <v/>
      </c>
      <c r="F10" s="15"/>
      <c r="G10" s="16" t="str">
        <f aca="false">IF(F10="","",F10*$K$4)</f>
        <v/>
      </c>
      <c r="H10" s="17" t="n">
        <f aca="false">IF(L10="Inactive",0,IF(F10&gt;D10,F10-D10,0))</f>
        <v>0</v>
      </c>
      <c r="I10" s="16" t="n">
        <f aca="false">IF(L10="Inactive",0,IF(G10&gt;E10,G10-E10,0))</f>
        <v>0</v>
      </c>
      <c r="J10" s="17" t="n">
        <f aca="false">IF(L10="Inactive",0,IF(D10&gt;F10,D10-F10,0))</f>
        <v>0</v>
      </c>
      <c r="K10" s="16" t="n">
        <f aca="false">IF(L10="Inactive",0,IF(E10&gt;G10,E10-G10,0))</f>
        <v>0</v>
      </c>
      <c r="L10" s="18" t="s">
        <v>19</v>
      </c>
    </row>
    <row r="11" customFormat="false" ht="19.5" hidden="false" customHeight="true" outlineLevel="0" collapsed="false">
      <c r="A11" s="19" t="s">
        <v>138</v>
      </c>
      <c r="B11" s="13"/>
      <c r="C11" s="20" t="str">
        <f aca="false">IF(B11="","",TEXT(B11,"mmmm"))</f>
        <v/>
      </c>
      <c r="D11" s="15"/>
      <c r="E11" s="21" t="str">
        <f aca="false">IF(D11="","",D11*$K$4)</f>
        <v/>
      </c>
      <c r="F11" s="15"/>
      <c r="G11" s="21" t="str">
        <f aca="false">IF(F11="","",F11*$K$4)</f>
        <v/>
      </c>
      <c r="H11" s="22" t="n">
        <f aca="false">IF(L11="Inactive",0,IF(F11&gt;D11,F11-D11,0))</f>
        <v>0</v>
      </c>
      <c r="I11" s="21" t="n">
        <f aca="false">IF(L11="Inactive",0,IF(G11&gt;E11,G11-E11,0))</f>
        <v>0</v>
      </c>
      <c r="J11" s="22" t="n">
        <f aca="false">IF(L11="Inactive",0,IF(D11&gt;F11,D11-F11,0))</f>
        <v>0</v>
      </c>
      <c r="K11" s="21" t="n">
        <f aca="false">IF(L11="Inactive",0,IF(E11&gt;G11,E11-G11,0))</f>
        <v>0</v>
      </c>
      <c r="L11" s="18" t="s">
        <v>19</v>
      </c>
    </row>
    <row r="12" customFormat="false" ht="19.5" hidden="false" customHeight="true" outlineLevel="0" collapsed="false">
      <c r="A12" s="12" t="s">
        <v>139</v>
      </c>
      <c r="B12" s="13"/>
      <c r="C12" s="14" t="str">
        <f aca="false">IF(B12="","",TEXT(B12,"mmmm"))</f>
        <v/>
      </c>
      <c r="D12" s="15"/>
      <c r="E12" s="16" t="str">
        <f aca="false">IF(D12="","",D12*$K$4)</f>
        <v/>
      </c>
      <c r="F12" s="15"/>
      <c r="G12" s="16" t="str">
        <f aca="false">IF(F12="","",F12*$K$4)</f>
        <v/>
      </c>
      <c r="H12" s="17" t="n">
        <f aca="false">IF(L12="Inactive",0,IF(F12&gt;D12,F12-D12,0))</f>
        <v>0</v>
      </c>
      <c r="I12" s="16" t="n">
        <f aca="false">IF(L12="Inactive",0,IF(G12&gt;E12,G12-E12,0))</f>
        <v>0</v>
      </c>
      <c r="J12" s="17" t="n">
        <f aca="false">IF(L12="Inactive",0,IF(D12&gt;F12,D12-F12,0))</f>
        <v>0</v>
      </c>
      <c r="K12" s="16" t="n">
        <f aca="false">IF(L12="Inactive",0,IF(E12&gt;G12,E12-G12,0))</f>
        <v>0</v>
      </c>
      <c r="L12" s="18" t="s">
        <v>19</v>
      </c>
    </row>
    <row r="13" customFormat="false" ht="19.5" hidden="false" customHeight="true" outlineLevel="0" collapsed="false">
      <c r="A13" s="19" t="s">
        <v>140</v>
      </c>
      <c r="B13" s="13"/>
      <c r="C13" s="20" t="str">
        <f aca="false">IF(B13="","",TEXT(B13,"mmmm"))</f>
        <v/>
      </c>
      <c r="D13" s="15"/>
      <c r="E13" s="21" t="str">
        <f aca="false">IF(D13="","",D13*$K$4)</f>
        <v/>
      </c>
      <c r="F13" s="15"/>
      <c r="G13" s="21" t="str">
        <f aca="false">IF(F13="","",F13*$K$4)</f>
        <v/>
      </c>
      <c r="H13" s="22" t="n">
        <f aca="false">IF(L13="Inactive",0,IF(F13&gt;D13,F13-D13,0))</f>
        <v>0</v>
      </c>
      <c r="I13" s="21" t="n">
        <f aca="false">IF(L13="Inactive",0,IF(G13&gt;E13,G13-E13,0))</f>
        <v>0</v>
      </c>
      <c r="J13" s="22" t="n">
        <f aca="false">IF(L13="Inactive",0,IF(D13&gt;F13,D13-F13,0))</f>
        <v>0</v>
      </c>
      <c r="K13" s="21" t="n">
        <f aca="false">IF(L13="Inactive",0,IF(E13&gt;G13,E13-G13,0))</f>
        <v>0</v>
      </c>
      <c r="L13" s="18" t="s">
        <v>19</v>
      </c>
    </row>
    <row r="14" customFormat="false" ht="19.5" hidden="false" customHeight="true" outlineLevel="0" collapsed="false">
      <c r="A14" s="12" t="s">
        <v>141</v>
      </c>
      <c r="B14" s="13"/>
      <c r="C14" s="14" t="str">
        <f aca="false">IF(B14="","",TEXT(B14,"mmmm"))</f>
        <v/>
      </c>
      <c r="D14" s="15"/>
      <c r="E14" s="16" t="str">
        <f aca="false">IF(D14="","",D14*$K$4)</f>
        <v/>
      </c>
      <c r="F14" s="15"/>
      <c r="G14" s="16" t="str">
        <f aca="false">IF(F14="","",F14*$K$4)</f>
        <v/>
      </c>
      <c r="H14" s="17" t="n">
        <f aca="false">IF(L14="Inactive",0,IF(F14&gt;D14,F14-D14,0))</f>
        <v>0</v>
      </c>
      <c r="I14" s="16" t="n">
        <f aca="false">IF(L14="Inactive",0,IF(G14&gt;E14,G14-E14,0))</f>
        <v>0</v>
      </c>
      <c r="J14" s="17" t="n">
        <f aca="false">IF(L14="Inactive",0,IF(D14&gt;F14,D14-F14,0))</f>
        <v>0</v>
      </c>
      <c r="K14" s="16" t="n">
        <f aca="false">IF(L14="Inactive",0,IF(E14&gt;G14,E14-G14,0))</f>
        <v>0</v>
      </c>
      <c r="L14" s="18" t="s">
        <v>19</v>
      </c>
    </row>
    <row r="15" customFormat="false" ht="19.5" hidden="false" customHeight="true" outlineLevel="0" collapsed="false">
      <c r="A15" s="19" t="s">
        <v>142</v>
      </c>
      <c r="B15" s="13"/>
      <c r="C15" s="20" t="str">
        <f aca="false">IF(B15="","",TEXT(B15,"mmmm"))</f>
        <v/>
      </c>
      <c r="D15" s="15"/>
      <c r="E15" s="21" t="str">
        <f aca="false">IF(D15="","",D15*$K$4)</f>
        <v/>
      </c>
      <c r="F15" s="15"/>
      <c r="G15" s="21" t="str">
        <f aca="false">IF(F15="","",F15*$K$4)</f>
        <v/>
      </c>
      <c r="H15" s="22" t="n">
        <f aca="false">IF(L15="Inactive",0,IF(F15&gt;D15,F15-D15,0))</f>
        <v>0</v>
      </c>
      <c r="I15" s="21" t="n">
        <f aca="false">IF(L15="Inactive",0,IF(G15&gt;E15,G15-E15,0))</f>
        <v>0</v>
      </c>
      <c r="J15" s="22" t="n">
        <f aca="false">IF(L15="Inactive",0,IF(D15&gt;F15,D15-F15,0))</f>
        <v>0</v>
      </c>
      <c r="K15" s="21" t="n">
        <f aca="false">IF(L15="Inactive",0,IF(E15&gt;G15,E15-G15,0))</f>
        <v>0</v>
      </c>
      <c r="L15" s="18" t="s">
        <v>19</v>
      </c>
    </row>
    <row r="16" customFormat="false" ht="19.5" hidden="false" customHeight="true" outlineLevel="0" collapsed="false">
      <c r="A16" s="12" t="s">
        <v>143</v>
      </c>
      <c r="B16" s="13"/>
      <c r="C16" s="14" t="str">
        <f aca="false">IF(B16="","",TEXT(B16,"mmmm"))</f>
        <v/>
      </c>
      <c r="D16" s="15"/>
      <c r="E16" s="16" t="str">
        <f aca="false">IF(D16="","",D16*$K$4)</f>
        <v/>
      </c>
      <c r="F16" s="15"/>
      <c r="G16" s="16" t="str">
        <f aca="false">IF(F16="","",F16*$K$4)</f>
        <v/>
      </c>
      <c r="H16" s="17" t="n">
        <f aca="false">IF(L16="Inactive",0,IF(F16&gt;D16,F16-D16,0))</f>
        <v>0</v>
      </c>
      <c r="I16" s="16" t="n">
        <f aca="false">IF(L16="Inactive",0,IF(G16&gt;E16,G16-E16,0))</f>
        <v>0</v>
      </c>
      <c r="J16" s="17" t="n">
        <f aca="false">IF(L16="Inactive",0,IF(D16&gt;F16,D16-F16,0))</f>
        <v>0</v>
      </c>
      <c r="K16" s="16" t="n">
        <f aca="false">IF(L16="Inactive",0,IF(E16&gt;G16,E16-G16,0))</f>
        <v>0</v>
      </c>
      <c r="L16" s="18" t="s">
        <v>19</v>
      </c>
    </row>
    <row r="17" customFormat="false" ht="19.5" hidden="false" customHeight="true" outlineLevel="0" collapsed="false">
      <c r="A17" s="19" t="s">
        <v>144</v>
      </c>
      <c r="B17" s="13"/>
      <c r="C17" s="20" t="str">
        <f aca="false">IF(B17="","",TEXT(B17,"mmmm"))</f>
        <v/>
      </c>
      <c r="D17" s="15"/>
      <c r="E17" s="21" t="str">
        <f aca="false">IF(D17="","",D17*$K$4)</f>
        <v/>
      </c>
      <c r="F17" s="15"/>
      <c r="G17" s="21" t="str">
        <f aca="false">IF(F17="","",F17*$K$4)</f>
        <v/>
      </c>
      <c r="H17" s="22" t="n">
        <f aca="false">IF(L17="Inactive",0,IF(F17&gt;D17,F17-D17,0))</f>
        <v>0</v>
      </c>
      <c r="I17" s="21" t="n">
        <f aca="false">IF(L17="Inactive",0,IF(G17&gt;E17,G17-E17,0))</f>
        <v>0</v>
      </c>
      <c r="J17" s="22" t="n">
        <f aca="false">IF(L17="Inactive",0,IF(D17&gt;F17,D17-F17,0))</f>
        <v>0</v>
      </c>
      <c r="K17" s="21" t="n">
        <f aca="false">IF(L17="Inactive",0,IF(E17&gt;G17,E17-G17,0))</f>
        <v>0</v>
      </c>
      <c r="L17" s="18" t="s">
        <v>19</v>
      </c>
    </row>
    <row r="18" customFormat="false" ht="19.5" hidden="false" customHeight="true" outlineLevel="0" collapsed="false">
      <c r="A18" s="12" t="s">
        <v>145</v>
      </c>
      <c r="B18" s="13"/>
      <c r="C18" s="14" t="str">
        <f aca="false">IF(B18="","",TEXT(B18,"mmmm"))</f>
        <v/>
      </c>
      <c r="D18" s="15"/>
      <c r="E18" s="16" t="str">
        <f aca="false">IF(D18="","",D18*$K$4)</f>
        <v/>
      </c>
      <c r="F18" s="15"/>
      <c r="G18" s="16" t="str">
        <f aca="false">IF(F18="","",F18*$K$4)</f>
        <v/>
      </c>
      <c r="H18" s="17" t="n">
        <f aca="false">IF(L18="Inactive",0,IF(F18&gt;D18,F18-D18,0))</f>
        <v>0</v>
      </c>
      <c r="I18" s="16" t="n">
        <f aca="false">IF(L18="Inactive",0,IF(G18&gt;E18,G18-E18,0))</f>
        <v>0</v>
      </c>
      <c r="J18" s="17" t="n">
        <f aca="false">IF(L18="Inactive",0,IF(D18&gt;F18,D18-F18,0))</f>
        <v>0</v>
      </c>
      <c r="K18" s="16" t="n">
        <f aca="false">IF(L18="Inactive",0,IF(E18&gt;G18,E18-G18,0))</f>
        <v>0</v>
      </c>
      <c r="L18" s="18" t="s">
        <v>19</v>
      </c>
    </row>
    <row r="19" customFormat="false" ht="19.5" hidden="false" customHeight="true" outlineLevel="0" collapsed="false">
      <c r="A19" s="19" t="s">
        <v>146</v>
      </c>
      <c r="B19" s="13"/>
      <c r="C19" s="20" t="str">
        <f aca="false">IF(B19="","",TEXT(B19,"mmmm"))</f>
        <v/>
      </c>
      <c r="D19" s="15"/>
      <c r="E19" s="21" t="str">
        <f aca="false">IF(D19="","",D19*$K$4)</f>
        <v/>
      </c>
      <c r="F19" s="15"/>
      <c r="G19" s="21" t="str">
        <f aca="false">IF(F19="","",F19*$K$4)</f>
        <v/>
      </c>
      <c r="H19" s="22" t="n">
        <f aca="false">IF(L19="Inactive",0,IF(F19&gt;D19,F19-D19,0))</f>
        <v>0</v>
      </c>
      <c r="I19" s="21" t="n">
        <f aca="false">IF(L19="Inactive",0,IF(G19&gt;E19,G19-E19,0))</f>
        <v>0</v>
      </c>
      <c r="J19" s="22" t="n">
        <f aca="false">IF(L19="Inactive",0,IF(D19&gt;F19,D19-F19,0))</f>
        <v>0</v>
      </c>
      <c r="K19" s="21" t="n">
        <f aca="false">IF(L19="Inactive",0,IF(E19&gt;G19,E19-G19,0))</f>
        <v>0</v>
      </c>
      <c r="L19" s="18" t="s">
        <v>19</v>
      </c>
    </row>
    <row r="20" customFormat="false" ht="19.5" hidden="false" customHeight="true" outlineLevel="0" collapsed="false">
      <c r="A20" s="12" t="s">
        <v>147</v>
      </c>
      <c r="B20" s="13"/>
      <c r="C20" s="14" t="str">
        <f aca="false">IF(B20="","",TEXT(B20,"mmmm"))</f>
        <v/>
      </c>
      <c r="D20" s="15"/>
      <c r="E20" s="16" t="str">
        <f aca="false">IF(D20="","",D20*$K$4)</f>
        <v/>
      </c>
      <c r="F20" s="15"/>
      <c r="G20" s="16" t="str">
        <f aca="false">IF(F20="","",F20*$K$4)</f>
        <v/>
      </c>
      <c r="H20" s="17" t="n">
        <f aca="false">IF(L20="Inactive",0,IF(F20&gt;D20,F20-D20,0))</f>
        <v>0</v>
      </c>
      <c r="I20" s="16" t="n">
        <f aca="false">IF(L20="Inactive",0,IF(G20&gt;E20,G20-E20,0))</f>
        <v>0</v>
      </c>
      <c r="J20" s="17" t="n">
        <f aca="false">IF(L20="Inactive",0,IF(D20&gt;F20,D20-F20,0))</f>
        <v>0</v>
      </c>
      <c r="K20" s="16" t="n">
        <f aca="false">IF(L20="Inactive",0,IF(E20&gt;G20,E20-G20,0))</f>
        <v>0</v>
      </c>
      <c r="L20" s="18" t="s">
        <v>19</v>
      </c>
    </row>
    <row r="21" customFormat="false" ht="19.5" hidden="false" customHeight="true" outlineLevel="0" collapsed="false">
      <c r="A21" s="19" t="s">
        <v>148</v>
      </c>
      <c r="B21" s="13"/>
      <c r="C21" s="20" t="str">
        <f aca="false">IF(B21="","",TEXT(B21,"mmmm"))</f>
        <v/>
      </c>
      <c r="D21" s="15"/>
      <c r="E21" s="21" t="str">
        <f aca="false">IF(D21="","",D21*$K$4)</f>
        <v/>
      </c>
      <c r="F21" s="15"/>
      <c r="G21" s="21" t="str">
        <f aca="false">IF(F21="","",F21*$K$4)</f>
        <v/>
      </c>
      <c r="H21" s="22" t="n">
        <f aca="false">IF(L21="Inactive",0,IF(F21&gt;D21,F21-D21,0))</f>
        <v>0</v>
      </c>
      <c r="I21" s="21" t="n">
        <f aca="false">IF(L21="Inactive",0,IF(G21&gt;E21,G21-E21,0))</f>
        <v>0</v>
      </c>
      <c r="J21" s="22" t="n">
        <f aca="false">IF(L21="Inactive",0,IF(D21&gt;F21,D21-F21,0))</f>
        <v>0</v>
      </c>
      <c r="K21" s="21" t="n">
        <f aca="false">IF(L21="Inactive",0,IF(E21&gt;G21,E21-G21,0))</f>
        <v>0</v>
      </c>
      <c r="L21" s="18" t="s">
        <v>19</v>
      </c>
    </row>
    <row r="22" customFormat="false" ht="19.5" hidden="false" customHeight="true" outlineLevel="0" collapsed="false">
      <c r="A22" s="12" t="s">
        <v>149</v>
      </c>
      <c r="B22" s="13"/>
      <c r="C22" s="14" t="str">
        <f aca="false">IF(B22="","",TEXT(B22,"mmmm"))</f>
        <v/>
      </c>
      <c r="D22" s="15"/>
      <c r="E22" s="16" t="str">
        <f aca="false">IF(D22="","",D22*$K$4)</f>
        <v/>
      </c>
      <c r="F22" s="15"/>
      <c r="G22" s="16" t="str">
        <f aca="false">IF(F22="","",F22*$K$4)</f>
        <v/>
      </c>
      <c r="H22" s="17" t="n">
        <f aca="false">IF(L22="Inactive",0,IF(F22&gt;D22,F22-D22,0))</f>
        <v>0</v>
      </c>
      <c r="I22" s="16" t="n">
        <f aca="false">IF(L22="Inactive",0,IF(G22&gt;E22,G22-E22,0))</f>
        <v>0</v>
      </c>
      <c r="J22" s="17" t="n">
        <f aca="false">IF(L22="Inactive",0,IF(D22&gt;F22,D22-F22,0))</f>
        <v>0</v>
      </c>
      <c r="K22" s="16" t="n">
        <f aca="false">IF(L22="Inactive",0,IF(E22&gt;G22,E22-G22,0))</f>
        <v>0</v>
      </c>
      <c r="L22" s="18" t="s">
        <v>19</v>
      </c>
    </row>
    <row r="23" customFormat="false" ht="19.5" hidden="false" customHeight="true" outlineLevel="0" collapsed="false">
      <c r="A23" s="19" t="s">
        <v>150</v>
      </c>
      <c r="B23" s="13"/>
      <c r="C23" s="20" t="str">
        <f aca="false">IF(B23="","",TEXT(B23,"mmmm"))</f>
        <v/>
      </c>
      <c r="D23" s="15"/>
      <c r="E23" s="21" t="str">
        <f aca="false">IF(D23="","",D23*$K$4)</f>
        <v/>
      </c>
      <c r="F23" s="15"/>
      <c r="G23" s="21" t="str">
        <f aca="false">IF(F23="","",F23*$K$4)</f>
        <v/>
      </c>
      <c r="H23" s="22" t="n">
        <f aca="false">IF(L23="Inactive",0,IF(F23&gt;D23,F23-D23,0))</f>
        <v>0</v>
      </c>
      <c r="I23" s="21" t="n">
        <f aca="false">IF(L23="Inactive",0,IF(G23&gt;E23,G23-E23,0))</f>
        <v>0</v>
      </c>
      <c r="J23" s="22" t="n">
        <f aca="false">IF(L23="Inactive",0,IF(D23&gt;F23,D23-F23,0))</f>
        <v>0</v>
      </c>
      <c r="K23" s="21" t="n">
        <f aca="false">IF(L23="Inactive",0,IF(E23&gt;G23,E23-G23,0))</f>
        <v>0</v>
      </c>
      <c r="L23" s="18" t="s">
        <v>19</v>
      </c>
    </row>
    <row r="24" customFormat="false" ht="19.5" hidden="false" customHeight="true" outlineLevel="0" collapsed="false">
      <c r="A24" s="12" t="s">
        <v>151</v>
      </c>
      <c r="B24" s="13"/>
      <c r="C24" s="14" t="str">
        <f aca="false">IF(B24="","",TEXT(B24,"mmmm"))</f>
        <v/>
      </c>
      <c r="D24" s="15"/>
      <c r="E24" s="16" t="str">
        <f aca="false">IF(D24="","",D24*$K$4)</f>
        <v/>
      </c>
      <c r="F24" s="15"/>
      <c r="G24" s="16" t="str">
        <f aca="false">IF(F24="","",F24*$K$4)</f>
        <v/>
      </c>
      <c r="H24" s="17" t="n">
        <f aca="false">IF(L24="Inactive",0,IF(F24&gt;D24,F24-D24,0))</f>
        <v>0</v>
      </c>
      <c r="I24" s="16" t="n">
        <f aca="false">IF(L24="Inactive",0,IF(G24&gt;E24,G24-E24,0))</f>
        <v>0</v>
      </c>
      <c r="J24" s="17" t="n">
        <f aca="false">IF(L24="Inactive",0,IF(D24&gt;F24,D24-F24,0))</f>
        <v>0</v>
      </c>
      <c r="K24" s="16" t="n">
        <f aca="false">IF(L24="Inactive",0,IF(E24&gt;G24,E24-G24,0))</f>
        <v>0</v>
      </c>
      <c r="L24" s="18" t="s">
        <v>19</v>
      </c>
    </row>
    <row r="25" customFormat="false" ht="19.5" hidden="false" customHeight="true" outlineLevel="0" collapsed="false">
      <c r="A25" s="19" t="s">
        <v>152</v>
      </c>
      <c r="B25" s="13"/>
      <c r="C25" s="20" t="str">
        <f aca="false">IF(B25="","",TEXT(B25,"mmmm"))</f>
        <v/>
      </c>
      <c r="D25" s="15"/>
      <c r="E25" s="21" t="str">
        <f aca="false">IF(D25="","",D25*$K$4)</f>
        <v/>
      </c>
      <c r="F25" s="15"/>
      <c r="G25" s="21" t="str">
        <f aca="false">IF(F25="","",F25*$K$4)</f>
        <v/>
      </c>
      <c r="H25" s="22" t="n">
        <f aca="false">IF(L25="Inactive",0,IF(F25&gt;D25,F25-D25,0))</f>
        <v>0</v>
      </c>
      <c r="I25" s="21" t="n">
        <f aca="false">IF(L25="Inactive",0,IF(G25&gt;E25,G25-E25,0))</f>
        <v>0</v>
      </c>
      <c r="J25" s="22" t="n">
        <f aca="false">IF(L25="Inactive",0,IF(D25&gt;F25,D25-F25,0))</f>
        <v>0</v>
      </c>
      <c r="K25" s="21" t="n">
        <f aca="false">IF(L25="Inactive",0,IF(E25&gt;G25,E25-G25,0))</f>
        <v>0</v>
      </c>
      <c r="L25" s="18" t="s">
        <v>19</v>
      </c>
    </row>
    <row r="26" customFormat="false" ht="19.5" hidden="false" customHeight="true" outlineLevel="0" collapsed="false">
      <c r="A26" s="12" t="s">
        <v>153</v>
      </c>
      <c r="B26" s="13"/>
      <c r="C26" s="14" t="str">
        <f aca="false">IF(B26="","",TEXT(B26,"mmmm"))</f>
        <v/>
      </c>
      <c r="D26" s="15"/>
      <c r="E26" s="16" t="str">
        <f aca="false">IF(D26="","",D26*$K$4)</f>
        <v/>
      </c>
      <c r="F26" s="15"/>
      <c r="G26" s="16" t="str">
        <f aca="false">IF(F26="","",F26*$K$4)</f>
        <v/>
      </c>
      <c r="H26" s="17" t="n">
        <f aca="false">IF(L26="Inactive",0,IF(F26&gt;D26,F26-D26,0))</f>
        <v>0</v>
      </c>
      <c r="I26" s="16" t="n">
        <f aca="false">IF(L26="Inactive",0,IF(G26&gt;E26,G26-E26,0))</f>
        <v>0</v>
      </c>
      <c r="J26" s="17" t="n">
        <f aca="false">IF(L26="Inactive",0,IF(D26&gt;F26,D26-F26,0))</f>
        <v>0</v>
      </c>
      <c r="K26" s="16" t="n">
        <f aca="false">IF(L26="Inactive",0,IF(E26&gt;G26,E26-G26,0))</f>
        <v>0</v>
      </c>
      <c r="L26" s="18" t="s">
        <v>19</v>
      </c>
    </row>
    <row r="27" customFormat="false" ht="19.5" hidden="false" customHeight="true" outlineLevel="0" collapsed="false">
      <c r="A27" s="19" t="s">
        <v>154</v>
      </c>
      <c r="B27" s="13"/>
      <c r="C27" s="20" t="str">
        <f aca="false">IF(B27="","",TEXT(B27,"mmmm"))</f>
        <v/>
      </c>
      <c r="D27" s="15"/>
      <c r="E27" s="21" t="str">
        <f aca="false">IF(D27="","",D27*$K$4)</f>
        <v/>
      </c>
      <c r="F27" s="15"/>
      <c r="G27" s="21" t="str">
        <f aca="false">IF(F27="","",F27*$K$4)</f>
        <v/>
      </c>
      <c r="H27" s="22" t="n">
        <f aca="false">IF(L27="Inactive",0,IF(F27&gt;D27,F27-D27,0))</f>
        <v>0</v>
      </c>
      <c r="I27" s="21" t="n">
        <f aca="false">IF(L27="Inactive",0,IF(G27&gt;E27,G27-E27,0))</f>
        <v>0</v>
      </c>
      <c r="J27" s="22" t="n">
        <f aca="false">IF(L27="Inactive",0,IF(D27&gt;F27,D27-F27,0))</f>
        <v>0</v>
      </c>
      <c r="K27" s="21" t="n">
        <f aca="false">IF(L27="Inactive",0,IF(E27&gt;G27,E27-G27,0))</f>
        <v>0</v>
      </c>
      <c r="L27" s="18" t="s">
        <v>19</v>
      </c>
    </row>
    <row r="28" customFormat="false" ht="19.5" hidden="false" customHeight="true" outlineLevel="0" collapsed="false">
      <c r="A28" s="12" t="s">
        <v>155</v>
      </c>
      <c r="B28" s="13"/>
      <c r="C28" s="14" t="str">
        <f aca="false">IF(B28="","",TEXT(B28,"mmmm"))</f>
        <v/>
      </c>
      <c r="D28" s="15"/>
      <c r="E28" s="16" t="str">
        <f aca="false">IF(D28="","",D28*$K$4)</f>
        <v/>
      </c>
      <c r="F28" s="15"/>
      <c r="G28" s="16" t="str">
        <f aca="false">IF(F28="","",F28*$K$4)</f>
        <v/>
      </c>
      <c r="H28" s="17" t="n">
        <f aca="false">IF(L28="Inactive",0,IF(F28&gt;D28,F28-D28,0))</f>
        <v>0</v>
      </c>
      <c r="I28" s="16" t="n">
        <f aca="false">IF(L28="Inactive",0,IF(G28&gt;E28,G28-E28,0))</f>
        <v>0</v>
      </c>
      <c r="J28" s="17" t="n">
        <f aca="false">IF(L28="Inactive",0,IF(D28&gt;F28,D28-F28,0))</f>
        <v>0</v>
      </c>
      <c r="K28" s="16" t="n">
        <f aca="false">IF(L28="Inactive",0,IF(E28&gt;G28,E28-G28,0))</f>
        <v>0</v>
      </c>
      <c r="L28" s="18" t="s">
        <v>19</v>
      </c>
    </row>
    <row r="29" customFormat="false" ht="19.5" hidden="false" customHeight="true" outlineLevel="0" collapsed="false">
      <c r="A29" s="19" t="s">
        <v>156</v>
      </c>
      <c r="B29" s="13"/>
      <c r="C29" s="20" t="str">
        <f aca="false">IF(B29="","",TEXT(B29,"mmmm"))</f>
        <v/>
      </c>
      <c r="D29" s="15"/>
      <c r="E29" s="21" t="str">
        <f aca="false">IF(D29="","",D29*$K$4)</f>
        <v/>
      </c>
      <c r="F29" s="15"/>
      <c r="G29" s="21" t="str">
        <f aca="false">IF(F29="","",F29*$K$4)</f>
        <v/>
      </c>
      <c r="H29" s="22" t="n">
        <f aca="false">IF(L29="Inactive",0,IF(F29&gt;D29,F29-D29,0))</f>
        <v>0</v>
      </c>
      <c r="I29" s="21" t="n">
        <f aca="false">IF(L29="Inactive",0,IF(G29&gt;E29,G29-E29,0))</f>
        <v>0</v>
      </c>
      <c r="J29" s="22" t="n">
        <f aca="false">IF(L29="Inactive",0,IF(D29&gt;F29,D29-F29,0))</f>
        <v>0</v>
      </c>
      <c r="K29" s="21" t="n">
        <f aca="false">IF(L29="Inactive",0,IF(E29&gt;G29,E29-G29,0))</f>
        <v>0</v>
      </c>
      <c r="L29" s="18" t="s">
        <v>19</v>
      </c>
    </row>
    <row r="30" customFormat="false" ht="19.5" hidden="false" customHeight="true" outlineLevel="0" collapsed="false">
      <c r="A30" s="12" t="s">
        <v>157</v>
      </c>
      <c r="B30" s="13"/>
      <c r="C30" s="14" t="str">
        <f aca="false">IF(B30="","",TEXT(B30,"mmmm"))</f>
        <v/>
      </c>
      <c r="D30" s="15"/>
      <c r="E30" s="16" t="str">
        <f aca="false">IF(D30="","",D30*$K$4)</f>
        <v/>
      </c>
      <c r="F30" s="15"/>
      <c r="G30" s="16" t="str">
        <f aca="false">IF(F30="","",F30*$K$4)</f>
        <v/>
      </c>
      <c r="H30" s="17" t="n">
        <f aca="false">IF(L30="Inactive",0,IF(F30&gt;D30,F30-D30,0))</f>
        <v>0</v>
      </c>
      <c r="I30" s="16" t="n">
        <f aca="false">IF(L30="Inactive",0,IF(G30&gt;E30,G30-E30,0))</f>
        <v>0</v>
      </c>
      <c r="J30" s="17" t="n">
        <f aca="false">IF(L30="Inactive",0,IF(D30&gt;F30,D30-F30,0))</f>
        <v>0</v>
      </c>
      <c r="K30" s="16" t="n">
        <f aca="false">IF(L30="Inactive",0,IF(E30&gt;G30,E30-G30,0))</f>
        <v>0</v>
      </c>
      <c r="L30" s="18" t="s">
        <v>19</v>
      </c>
    </row>
    <row r="31" customFormat="false" ht="19.5" hidden="false" customHeight="true" outlineLevel="0" collapsed="false">
      <c r="A31" s="19" t="s">
        <v>158</v>
      </c>
      <c r="B31" s="13"/>
      <c r="C31" s="20" t="str">
        <f aca="false">IF(B31="","",TEXT(B31,"mmmm"))</f>
        <v/>
      </c>
      <c r="D31" s="15"/>
      <c r="E31" s="21" t="str">
        <f aca="false">IF(D31="","",D31*$K$4)</f>
        <v/>
      </c>
      <c r="F31" s="15"/>
      <c r="G31" s="21" t="str">
        <f aca="false">IF(F31="","",F31*$K$4)</f>
        <v/>
      </c>
      <c r="H31" s="22" t="n">
        <f aca="false">IF(L31="Inactive",0,IF(F31&gt;D31,F31-D31,0))</f>
        <v>0</v>
      </c>
      <c r="I31" s="21" t="n">
        <f aca="false">IF(L31="Inactive",0,IF(G31&gt;E31,G31-E31,0))</f>
        <v>0</v>
      </c>
      <c r="J31" s="22" t="n">
        <f aca="false">IF(L31="Inactive",0,IF(D31&gt;F31,D31-F31,0))</f>
        <v>0</v>
      </c>
      <c r="K31" s="21" t="n">
        <f aca="false">IF(L31="Inactive",0,IF(E31&gt;G31,E31-G31,0))</f>
        <v>0</v>
      </c>
      <c r="L31" s="18" t="s">
        <v>19</v>
      </c>
    </row>
    <row r="32" customFormat="false" ht="19.5" hidden="false" customHeight="true" outlineLevel="0" collapsed="false">
      <c r="A32" s="12" t="s">
        <v>159</v>
      </c>
      <c r="B32" s="13"/>
      <c r="C32" s="14" t="str">
        <f aca="false">IF(B32="","",TEXT(B32,"mmmm"))</f>
        <v/>
      </c>
      <c r="D32" s="15"/>
      <c r="E32" s="16" t="str">
        <f aca="false">IF(D32="","",D32*$K$4)</f>
        <v/>
      </c>
      <c r="F32" s="15"/>
      <c r="G32" s="16" t="str">
        <f aca="false">IF(F32="","",F32*$K$4)</f>
        <v/>
      </c>
      <c r="H32" s="17" t="n">
        <f aca="false">IF(L32="Inactive",0,IF(F32&gt;D32,F32-D32,0))</f>
        <v>0</v>
      </c>
      <c r="I32" s="16" t="n">
        <f aca="false">IF(L32="Inactive",0,IF(G32&gt;E32,G32-E32,0))</f>
        <v>0</v>
      </c>
      <c r="J32" s="17" t="n">
        <f aca="false">IF(L32="Inactive",0,IF(D32&gt;F32,D32-F32,0))</f>
        <v>0</v>
      </c>
      <c r="K32" s="16" t="n">
        <f aca="false">IF(L32="Inactive",0,IF(E32&gt;G32,E32-G32,0))</f>
        <v>0</v>
      </c>
      <c r="L32" s="18" t="s">
        <v>19</v>
      </c>
    </row>
    <row r="33" customFormat="false" ht="19.5" hidden="false" customHeight="true" outlineLevel="0" collapsed="false">
      <c r="A33" s="19" t="s">
        <v>160</v>
      </c>
      <c r="B33" s="13"/>
      <c r="C33" s="20" t="str">
        <f aca="false">IF(B33="","",TEXT(B33,"mmmm"))</f>
        <v/>
      </c>
      <c r="D33" s="15"/>
      <c r="E33" s="21" t="str">
        <f aca="false">IF(D33="","",D33*$K$4)</f>
        <v/>
      </c>
      <c r="F33" s="15"/>
      <c r="G33" s="21" t="str">
        <f aca="false">IF(F33="","",F33*$K$4)</f>
        <v/>
      </c>
      <c r="H33" s="22" t="n">
        <f aca="false">IF(L33="Inactive",0,IF(F33&gt;D33,F33-D33,0))</f>
        <v>0</v>
      </c>
      <c r="I33" s="21" t="n">
        <f aca="false">IF(L33="Inactive",0,IF(G33&gt;E33,G33-E33,0))</f>
        <v>0</v>
      </c>
      <c r="J33" s="22" t="n">
        <f aca="false">IF(L33="Inactive",0,IF(D33&gt;F33,D33-F33,0))</f>
        <v>0</v>
      </c>
      <c r="K33" s="21" t="n">
        <f aca="false">IF(L33="Inactive",0,IF(E33&gt;G33,E33-G33,0))</f>
        <v>0</v>
      </c>
      <c r="L33" s="18" t="s">
        <v>19</v>
      </c>
    </row>
    <row r="34" customFormat="false" ht="19.5" hidden="false" customHeight="true" outlineLevel="0" collapsed="false">
      <c r="A34" s="12" t="s">
        <v>161</v>
      </c>
      <c r="B34" s="13"/>
      <c r="C34" s="14" t="str">
        <f aca="false">IF(B34="","",TEXT(B34,"mmmm"))</f>
        <v/>
      </c>
      <c r="D34" s="15"/>
      <c r="E34" s="16" t="str">
        <f aca="false">IF(D34="","",D34*$K$4)</f>
        <v/>
      </c>
      <c r="F34" s="15"/>
      <c r="G34" s="16" t="str">
        <f aca="false">IF(F34="","",F34*$K$4)</f>
        <v/>
      </c>
      <c r="H34" s="17" t="n">
        <f aca="false">IF(L34="Inactive",0,IF(F34&gt;D34,F34-D34,0))</f>
        <v>0</v>
      </c>
      <c r="I34" s="16" t="n">
        <f aca="false">IF(L34="Inactive",0,IF(G34&gt;E34,G34-E34,0))</f>
        <v>0</v>
      </c>
      <c r="J34" s="17" t="n">
        <f aca="false">IF(L34="Inactive",0,IF(D34&gt;F34,D34-F34,0))</f>
        <v>0</v>
      </c>
      <c r="K34" s="16" t="n">
        <f aca="false">IF(L34="Inactive",0,IF(E34&gt;G34,E34-G34,0))</f>
        <v>0</v>
      </c>
      <c r="L34" s="18" t="s">
        <v>19</v>
      </c>
    </row>
    <row r="35" customFormat="false" ht="19.5" hidden="false" customHeight="true" outlineLevel="0" collapsed="false">
      <c r="A35" s="19" t="s">
        <v>162</v>
      </c>
      <c r="B35" s="13"/>
      <c r="C35" s="20" t="str">
        <f aca="false">IF(B35="","",TEXT(B35,"mmmm"))</f>
        <v/>
      </c>
      <c r="D35" s="15"/>
      <c r="E35" s="21" t="str">
        <f aca="false">IF(D35="","",D35*$K$4)</f>
        <v/>
      </c>
      <c r="F35" s="15"/>
      <c r="G35" s="21" t="str">
        <f aca="false">IF(F35="","",F35*$K$4)</f>
        <v/>
      </c>
      <c r="H35" s="22" t="n">
        <f aca="false">IF(L35="Inactive",0,IF(F35&gt;D35,F35-D35,0))</f>
        <v>0</v>
      </c>
      <c r="I35" s="21" t="n">
        <f aca="false">IF(L35="Inactive",0,IF(G35&gt;E35,G35-E35,0))</f>
        <v>0</v>
      </c>
      <c r="J35" s="22" t="n">
        <f aca="false">IF(L35="Inactive",0,IF(D35&gt;F35,D35-F35,0))</f>
        <v>0</v>
      </c>
      <c r="K35" s="21" t="n">
        <f aca="false">IF(L35="Inactive",0,IF(E35&gt;G35,E35-G35,0))</f>
        <v>0</v>
      </c>
      <c r="L35" s="18" t="s">
        <v>19</v>
      </c>
    </row>
    <row r="36" customFormat="false" ht="19.5" hidden="false" customHeight="true" outlineLevel="0" collapsed="false">
      <c r="A36" s="12" t="s">
        <v>163</v>
      </c>
      <c r="B36" s="13"/>
      <c r="C36" s="14" t="str">
        <f aca="false">IF(B36="","",TEXT(B36,"mmmm"))</f>
        <v/>
      </c>
      <c r="D36" s="15"/>
      <c r="E36" s="16" t="str">
        <f aca="false">IF(D36="","",D36*$K$4)</f>
        <v/>
      </c>
      <c r="F36" s="15"/>
      <c r="G36" s="16" t="str">
        <f aca="false">IF(F36="","",F36*$K$4)</f>
        <v/>
      </c>
      <c r="H36" s="17" t="n">
        <f aca="false">IF(L36="Inactive",0,IF(F36&gt;D36,F36-D36,0))</f>
        <v>0</v>
      </c>
      <c r="I36" s="16" t="n">
        <f aca="false">IF(L36="Inactive",0,IF(G36&gt;E36,G36-E36,0))</f>
        <v>0</v>
      </c>
      <c r="J36" s="17" t="n">
        <f aca="false">IF(L36="Inactive",0,IF(D36&gt;F36,D36-F36,0))</f>
        <v>0</v>
      </c>
      <c r="K36" s="16" t="n">
        <f aca="false">IF(L36="Inactive",0,IF(E36&gt;G36,E36-G36,0))</f>
        <v>0</v>
      </c>
      <c r="L36" s="18" t="s">
        <v>19</v>
      </c>
    </row>
    <row r="37" customFormat="false" ht="19.5" hidden="false" customHeight="true" outlineLevel="0" collapsed="false">
      <c r="A37" s="19" t="s">
        <v>164</v>
      </c>
      <c r="B37" s="13"/>
      <c r="C37" s="20" t="str">
        <f aca="false">IF(B37="","",TEXT(B37,"mmmm"))</f>
        <v/>
      </c>
      <c r="D37" s="15"/>
      <c r="E37" s="21" t="str">
        <f aca="false">IF(D37="","",D37*$K$4)</f>
        <v/>
      </c>
      <c r="F37" s="15"/>
      <c r="G37" s="21" t="str">
        <f aca="false">IF(F37="","",F37*$K$4)</f>
        <v/>
      </c>
      <c r="H37" s="22" t="n">
        <f aca="false">IF(L37="Inactive",0,IF(F37&gt;D37,F37-D37,0))</f>
        <v>0</v>
      </c>
      <c r="I37" s="21" t="n">
        <f aca="false">IF(L37="Inactive",0,IF(G37&gt;E37,G37-E37,0))</f>
        <v>0</v>
      </c>
      <c r="J37" s="22" t="n">
        <f aca="false">IF(L37="Inactive",0,IF(D37&gt;F37,D37-F37,0))</f>
        <v>0</v>
      </c>
      <c r="K37" s="21" t="n">
        <f aca="false">IF(L37="Inactive",0,IF(E37&gt;G37,E37-G37,0))</f>
        <v>0</v>
      </c>
      <c r="L37" s="18" t="s">
        <v>19</v>
      </c>
    </row>
    <row r="38" customFormat="false" ht="19.5" hidden="false" customHeight="true" outlineLevel="0" collapsed="false">
      <c r="A38" s="12" t="s">
        <v>165</v>
      </c>
      <c r="B38" s="13"/>
      <c r="C38" s="14" t="str">
        <f aca="false">IF(B38="","",TEXT(B38,"mmmm"))</f>
        <v/>
      </c>
      <c r="D38" s="15"/>
      <c r="E38" s="16" t="str">
        <f aca="false">IF(D38="","",D38*$K$4)</f>
        <v/>
      </c>
      <c r="F38" s="15"/>
      <c r="G38" s="16" t="str">
        <f aca="false">IF(F38="","",F38*$K$4)</f>
        <v/>
      </c>
      <c r="H38" s="17" t="n">
        <f aca="false">IF(L38="Inactive",0,IF(F38&gt;D38,F38-D38,0))</f>
        <v>0</v>
      </c>
      <c r="I38" s="16" t="n">
        <f aca="false">IF(L38="Inactive",0,IF(G38&gt;E38,G38-E38,0))</f>
        <v>0</v>
      </c>
      <c r="J38" s="17" t="n">
        <f aca="false">IF(L38="Inactive",0,IF(D38&gt;F38,D38-F38,0))</f>
        <v>0</v>
      </c>
      <c r="K38" s="16" t="n">
        <f aca="false">IF(L38="Inactive",0,IF(E38&gt;G38,E38-G38,0))</f>
        <v>0</v>
      </c>
      <c r="L38" s="18" t="s">
        <v>19</v>
      </c>
    </row>
    <row r="39" customFormat="false" ht="19.5" hidden="false" customHeight="true" outlineLevel="0" collapsed="false">
      <c r="A39" s="19" t="s">
        <v>166</v>
      </c>
      <c r="B39" s="13"/>
      <c r="C39" s="20" t="str">
        <f aca="false">IF(B39="","",TEXT(B39,"mmmm"))</f>
        <v/>
      </c>
      <c r="D39" s="15"/>
      <c r="E39" s="21" t="str">
        <f aca="false">IF(D39="","",D39*$K$4)</f>
        <v/>
      </c>
      <c r="F39" s="15"/>
      <c r="G39" s="21" t="str">
        <f aca="false">IF(F39="","",F39*$K$4)</f>
        <v/>
      </c>
      <c r="H39" s="22" t="n">
        <f aca="false">IF(L39="Inactive",0,IF(F39&gt;D39,F39-D39,0))</f>
        <v>0</v>
      </c>
      <c r="I39" s="21" t="n">
        <f aca="false">IF(L39="Inactive",0,IF(G39&gt;E39,G39-E39,0))</f>
        <v>0</v>
      </c>
      <c r="J39" s="22" t="n">
        <f aca="false">IF(L39="Inactive",0,IF(D39&gt;F39,D39-F39,0))</f>
        <v>0</v>
      </c>
      <c r="K39" s="21" t="n">
        <f aca="false">IF(L39="Inactive",0,IF(E39&gt;G39,E39-G39,0))</f>
        <v>0</v>
      </c>
      <c r="L39" s="18" t="s">
        <v>19</v>
      </c>
    </row>
    <row r="40" customFormat="false" ht="19.5" hidden="false" customHeight="true" outlineLevel="0" collapsed="false">
      <c r="A40" s="12" t="s">
        <v>167</v>
      </c>
      <c r="B40" s="13"/>
      <c r="C40" s="14" t="str">
        <f aca="false">IF(B40="","",TEXT(B40,"mmmm"))</f>
        <v/>
      </c>
      <c r="D40" s="15"/>
      <c r="E40" s="16" t="str">
        <f aca="false">IF(D40="","",D40*$K$4)</f>
        <v/>
      </c>
      <c r="F40" s="15"/>
      <c r="G40" s="16" t="str">
        <f aca="false">IF(F40="","",F40*$K$4)</f>
        <v/>
      </c>
      <c r="H40" s="17" t="n">
        <f aca="false">IF(L40="Inactive",0,IF(F40&gt;D40,F40-D40,0))</f>
        <v>0</v>
      </c>
      <c r="I40" s="16" t="n">
        <f aca="false">IF(L40="Inactive",0,IF(G40&gt;E40,G40-E40,0))</f>
        <v>0</v>
      </c>
      <c r="J40" s="17" t="n">
        <f aca="false">IF(L40="Inactive",0,IF(D40&gt;F40,D40-F40,0))</f>
        <v>0</v>
      </c>
      <c r="K40" s="16" t="n">
        <f aca="false">IF(L40="Inactive",0,IF(E40&gt;G40,E40-G40,0))</f>
        <v>0</v>
      </c>
      <c r="L40" s="18" t="s">
        <v>19</v>
      </c>
    </row>
    <row r="41" customFormat="false" ht="19.5" hidden="false" customHeight="true" outlineLevel="0" collapsed="false">
      <c r="A41" s="19" t="s">
        <v>168</v>
      </c>
      <c r="B41" s="13"/>
      <c r="C41" s="20" t="str">
        <f aca="false">IF(B41="","",TEXT(B41,"mmmm"))</f>
        <v/>
      </c>
      <c r="D41" s="15"/>
      <c r="E41" s="21" t="str">
        <f aca="false">IF(D41="","",D41*$K$4)</f>
        <v/>
      </c>
      <c r="F41" s="15"/>
      <c r="G41" s="21" t="str">
        <f aca="false">IF(F41="","",F41*$K$4)</f>
        <v/>
      </c>
      <c r="H41" s="22" t="n">
        <f aca="false">IF(L41="Inactive",0,IF(F41&gt;D41,F41-D41,0))</f>
        <v>0</v>
      </c>
      <c r="I41" s="21" t="n">
        <f aca="false">IF(L41="Inactive",0,IF(G41&gt;E41,G41-E41,0))</f>
        <v>0</v>
      </c>
      <c r="J41" s="22" t="n">
        <f aca="false">IF(L41="Inactive",0,IF(D41&gt;F41,D41-F41,0))</f>
        <v>0</v>
      </c>
      <c r="K41" s="21" t="n">
        <f aca="false">IF(L41="Inactive",0,IF(E41&gt;G41,E41-G41,0))</f>
        <v>0</v>
      </c>
      <c r="L41" s="18" t="s">
        <v>19</v>
      </c>
    </row>
    <row r="42" customFormat="false" ht="19.5" hidden="false" customHeight="true" outlineLevel="0" collapsed="false">
      <c r="A42" s="12" t="s">
        <v>169</v>
      </c>
      <c r="B42" s="13"/>
      <c r="C42" s="14" t="str">
        <f aca="false">IF(B42="","",TEXT(B42,"mmmm"))</f>
        <v/>
      </c>
      <c r="D42" s="15"/>
      <c r="E42" s="16" t="str">
        <f aca="false">IF(D42="","",D42*$K$4)</f>
        <v/>
      </c>
      <c r="F42" s="15"/>
      <c r="G42" s="16" t="str">
        <f aca="false">IF(F42="","",F42*$K$4)</f>
        <v/>
      </c>
      <c r="H42" s="17" t="n">
        <f aca="false">IF(L42="Inactive",0,IF(F42&gt;D42,F42-D42,0))</f>
        <v>0</v>
      </c>
      <c r="I42" s="16" t="n">
        <f aca="false">IF(L42="Inactive",0,IF(G42&gt;E42,G42-E42,0))</f>
        <v>0</v>
      </c>
      <c r="J42" s="17" t="n">
        <f aca="false">IF(L42="Inactive",0,IF(D42&gt;F42,D42-F42,0))</f>
        <v>0</v>
      </c>
      <c r="K42" s="16" t="n">
        <f aca="false">IF(L42="Inactive",0,IF(E42&gt;G42,E42-G42,0))</f>
        <v>0</v>
      </c>
      <c r="L42" s="18" t="s">
        <v>19</v>
      </c>
    </row>
    <row r="43" customFormat="false" ht="19.5" hidden="false" customHeight="true" outlineLevel="0" collapsed="false">
      <c r="A43" s="19" t="s">
        <v>170</v>
      </c>
      <c r="B43" s="13"/>
      <c r="C43" s="20" t="str">
        <f aca="false">IF(B43="","",TEXT(B43,"mmmm"))</f>
        <v/>
      </c>
      <c r="D43" s="15"/>
      <c r="E43" s="21" t="str">
        <f aca="false">IF(D43="","",D43*$K$4)</f>
        <v/>
      </c>
      <c r="F43" s="15"/>
      <c r="G43" s="21" t="str">
        <f aca="false">IF(F43="","",F43*$K$4)</f>
        <v/>
      </c>
      <c r="H43" s="22" t="n">
        <f aca="false">IF(L43="Inactive",0,IF(F43&gt;D43,F43-D43,0))</f>
        <v>0</v>
      </c>
      <c r="I43" s="21" t="n">
        <f aca="false">IF(L43="Inactive",0,IF(G43&gt;E43,G43-E43,0))</f>
        <v>0</v>
      </c>
      <c r="J43" s="22" t="n">
        <f aca="false">IF(L43="Inactive",0,IF(D43&gt;F43,D43-F43,0))</f>
        <v>0</v>
      </c>
      <c r="K43" s="21" t="n">
        <f aca="false">IF(L43="Inactive",0,IF(E43&gt;G43,E43-G43,0))</f>
        <v>0</v>
      </c>
      <c r="L43" s="18" t="s">
        <v>19</v>
      </c>
    </row>
    <row r="44" customFormat="false" ht="19.5" hidden="false" customHeight="true" outlineLevel="0" collapsed="false">
      <c r="A44" s="12" t="s">
        <v>171</v>
      </c>
      <c r="B44" s="13"/>
      <c r="C44" s="14" t="str">
        <f aca="false">IF(B44="","",TEXT(B44,"mmmm"))</f>
        <v/>
      </c>
      <c r="D44" s="15"/>
      <c r="E44" s="16" t="str">
        <f aca="false">IF(D44="","",D44*$K$4)</f>
        <v/>
      </c>
      <c r="F44" s="15"/>
      <c r="G44" s="16" t="str">
        <f aca="false">IF(F44="","",F44*$K$4)</f>
        <v/>
      </c>
      <c r="H44" s="17" t="n">
        <f aca="false">IF(L44="Inactive",0,IF(F44&gt;D44,F44-D44,0))</f>
        <v>0</v>
      </c>
      <c r="I44" s="16" t="n">
        <f aca="false">IF(L44="Inactive",0,IF(G44&gt;E44,G44-E44,0))</f>
        <v>0</v>
      </c>
      <c r="J44" s="17" t="n">
        <f aca="false">IF(L44="Inactive",0,IF(D44&gt;F44,D44-F44,0))</f>
        <v>0</v>
      </c>
      <c r="K44" s="16" t="n">
        <f aca="false">IF(L44="Inactive",0,IF(E44&gt;G44,E44-G44,0))</f>
        <v>0</v>
      </c>
      <c r="L44" s="18" t="s">
        <v>19</v>
      </c>
    </row>
    <row r="45" customFormat="false" ht="19.5" hidden="false" customHeight="true" outlineLevel="0" collapsed="false">
      <c r="A45" s="19" t="s">
        <v>172</v>
      </c>
      <c r="B45" s="13"/>
      <c r="C45" s="20" t="str">
        <f aca="false">IF(B45="","",TEXT(B45,"mmmm"))</f>
        <v/>
      </c>
      <c r="D45" s="15"/>
      <c r="E45" s="21" t="str">
        <f aca="false">IF(D45="","",D45*$K$4)</f>
        <v/>
      </c>
      <c r="F45" s="15"/>
      <c r="G45" s="21" t="str">
        <f aca="false">IF(F45="","",F45*$K$4)</f>
        <v/>
      </c>
      <c r="H45" s="22" t="n">
        <f aca="false">IF(L45="Inactive",0,IF(F45&gt;D45,F45-D45,0))</f>
        <v>0</v>
      </c>
      <c r="I45" s="21" t="n">
        <f aca="false">IF(L45="Inactive",0,IF(G45&gt;E45,G45-E45,0))</f>
        <v>0</v>
      </c>
      <c r="J45" s="22" t="n">
        <f aca="false">IF(L45="Inactive",0,IF(D45&gt;F45,D45-F45,0))</f>
        <v>0</v>
      </c>
      <c r="K45" s="21" t="n">
        <f aca="false">IF(L45="Inactive",0,IF(E45&gt;G45,E45-G45,0))</f>
        <v>0</v>
      </c>
      <c r="L45" s="18" t="s">
        <v>19</v>
      </c>
    </row>
    <row r="46" customFormat="false" ht="19.5" hidden="false" customHeight="true" outlineLevel="0" collapsed="false">
      <c r="A46" s="12" t="s">
        <v>173</v>
      </c>
      <c r="B46" s="13"/>
      <c r="C46" s="14" t="str">
        <f aca="false">IF(B46="","",TEXT(B46,"mmmm"))</f>
        <v/>
      </c>
      <c r="D46" s="15"/>
      <c r="E46" s="16" t="str">
        <f aca="false">IF(D46="","",D46*$K$4)</f>
        <v/>
      </c>
      <c r="F46" s="15"/>
      <c r="G46" s="16" t="str">
        <f aca="false">IF(F46="","",F46*$K$4)</f>
        <v/>
      </c>
      <c r="H46" s="17" t="n">
        <f aca="false">IF(L46="Inactive",0,IF(F46&gt;D46,F46-D46,0))</f>
        <v>0</v>
      </c>
      <c r="I46" s="16" t="n">
        <f aca="false">IF(L46="Inactive",0,IF(G46&gt;E46,G46-E46,0))</f>
        <v>0</v>
      </c>
      <c r="J46" s="17" t="n">
        <f aca="false">IF(L46="Inactive",0,IF(D46&gt;F46,D46-F46,0))</f>
        <v>0</v>
      </c>
      <c r="K46" s="16" t="n">
        <f aca="false">IF(L46="Inactive",0,IF(E46&gt;G46,E46-G46,0))</f>
        <v>0</v>
      </c>
      <c r="L46" s="18" t="s">
        <v>19</v>
      </c>
    </row>
    <row r="47" customFormat="false" ht="19.5" hidden="false" customHeight="true" outlineLevel="0" collapsed="false">
      <c r="A47" s="19" t="s">
        <v>174</v>
      </c>
      <c r="B47" s="13"/>
      <c r="C47" s="20" t="str">
        <f aca="false">IF(B47="","",TEXT(B47,"mmmm"))</f>
        <v/>
      </c>
      <c r="D47" s="15"/>
      <c r="E47" s="21" t="str">
        <f aca="false">IF(D47="","",D47*$K$4)</f>
        <v/>
      </c>
      <c r="F47" s="15"/>
      <c r="G47" s="21" t="str">
        <f aca="false">IF(F47="","",F47*$K$4)</f>
        <v/>
      </c>
      <c r="H47" s="22" t="n">
        <f aca="false">IF(L47="Inactive",0,IF(F47&gt;D47,F47-D47,0))</f>
        <v>0</v>
      </c>
      <c r="I47" s="21" t="n">
        <f aca="false">IF(L47="Inactive",0,IF(G47&gt;E47,G47-E47,0))</f>
        <v>0</v>
      </c>
      <c r="J47" s="22" t="n">
        <f aca="false">IF(L47="Inactive",0,IF(D47&gt;F47,D47-F47,0))</f>
        <v>0</v>
      </c>
      <c r="K47" s="21" t="n">
        <f aca="false">IF(L47="Inactive",0,IF(E47&gt;G47,E47-G47,0))</f>
        <v>0</v>
      </c>
      <c r="L47" s="18" t="s">
        <v>19</v>
      </c>
    </row>
    <row r="48" customFormat="false" ht="19.5" hidden="false" customHeight="true" outlineLevel="0" collapsed="false">
      <c r="A48" s="12" t="s">
        <v>175</v>
      </c>
      <c r="B48" s="13"/>
      <c r="C48" s="14" t="str">
        <f aca="false">IF(B48="","",TEXT(B48,"mmmm"))</f>
        <v/>
      </c>
      <c r="D48" s="15"/>
      <c r="E48" s="16" t="str">
        <f aca="false">IF(D48="","",D48*$K$4)</f>
        <v/>
      </c>
      <c r="F48" s="15"/>
      <c r="G48" s="16" t="str">
        <f aca="false">IF(F48="","",F48*$K$4)</f>
        <v/>
      </c>
      <c r="H48" s="17" t="n">
        <f aca="false">IF(L48="Inactive",0,IF(F48&gt;D48,F48-D48,0))</f>
        <v>0</v>
      </c>
      <c r="I48" s="16" t="n">
        <f aca="false">IF(L48="Inactive",0,IF(G48&gt;E48,G48-E48,0))</f>
        <v>0</v>
      </c>
      <c r="J48" s="17" t="n">
        <f aca="false">IF(L48="Inactive",0,IF(D48&gt;F48,D48-F48,0))</f>
        <v>0</v>
      </c>
      <c r="K48" s="16" t="n">
        <f aca="false">IF(L48="Inactive",0,IF(E48&gt;G48,E48-G48,0))</f>
        <v>0</v>
      </c>
      <c r="L48" s="18" t="s">
        <v>19</v>
      </c>
    </row>
    <row r="49" customFormat="false" ht="19.5" hidden="false" customHeight="true" outlineLevel="0" collapsed="false">
      <c r="A49" s="19" t="s">
        <v>176</v>
      </c>
      <c r="B49" s="13"/>
      <c r="C49" s="20" t="str">
        <f aca="false">IF(B49="","",TEXT(B49,"mmmm"))</f>
        <v/>
      </c>
      <c r="D49" s="15"/>
      <c r="E49" s="21" t="str">
        <f aca="false">IF(D49="","",D49*$K$4)</f>
        <v/>
      </c>
      <c r="F49" s="15"/>
      <c r="G49" s="21" t="str">
        <f aca="false">IF(F49="","",F49*$K$4)</f>
        <v/>
      </c>
      <c r="H49" s="22" t="n">
        <f aca="false">IF(L49="Inactive",0,IF(F49&gt;D49,F49-D49,0))</f>
        <v>0</v>
      </c>
      <c r="I49" s="21" t="n">
        <f aca="false">IF(L49="Inactive",0,IF(G49&gt;E49,G49-E49,0))</f>
        <v>0</v>
      </c>
      <c r="J49" s="22" t="n">
        <f aca="false">IF(L49="Inactive",0,IF(D49&gt;F49,D49-F49,0))</f>
        <v>0</v>
      </c>
      <c r="K49" s="21" t="n">
        <f aca="false">IF(L49="Inactive",0,IF(E49&gt;G49,E49-G49,0))</f>
        <v>0</v>
      </c>
      <c r="L49" s="18" t="s">
        <v>19</v>
      </c>
    </row>
    <row r="50" customFormat="false" ht="19.5" hidden="false" customHeight="true" outlineLevel="0" collapsed="false">
      <c r="A50" s="12" t="s">
        <v>177</v>
      </c>
      <c r="B50" s="13"/>
      <c r="C50" s="14" t="str">
        <f aca="false">IF(B50="","",TEXT(B50,"mmmm"))</f>
        <v/>
      </c>
      <c r="D50" s="15"/>
      <c r="E50" s="16" t="str">
        <f aca="false">IF(D50="","",D50*$K$4)</f>
        <v/>
      </c>
      <c r="F50" s="15"/>
      <c r="G50" s="16" t="str">
        <f aca="false">IF(F50="","",F50*$K$4)</f>
        <v/>
      </c>
      <c r="H50" s="17" t="n">
        <f aca="false">IF(L50="Inactive",0,IF(F50&gt;D50,F50-D50,0))</f>
        <v>0</v>
      </c>
      <c r="I50" s="16" t="n">
        <f aca="false">IF(L50="Inactive",0,IF(G50&gt;E50,G50-E50,0))</f>
        <v>0</v>
      </c>
      <c r="J50" s="17" t="n">
        <f aca="false">IF(L50="Inactive",0,IF(D50&gt;F50,D50-F50,0))</f>
        <v>0</v>
      </c>
      <c r="K50" s="16" t="n">
        <f aca="false">IF(L50="Inactive",0,IF(E50&gt;G50,E50-G50,0))</f>
        <v>0</v>
      </c>
      <c r="L50" s="18" t="s">
        <v>19</v>
      </c>
    </row>
    <row r="51" customFormat="false" ht="19.5" hidden="false" customHeight="true" outlineLevel="0" collapsed="false">
      <c r="A51" s="19" t="s">
        <v>178</v>
      </c>
      <c r="B51" s="13"/>
      <c r="C51" s="20" t="str">
        <f aca="false">IF(B51="","",TEXT(B51,"mmmm"))</f>
        <v/>
      </c>
      <c r="D51" s="15"/>
      <c r="E51" s="21" t="str">
        <f aca="false">IF(D51="","",D51*$K$4)</f>
        <v/>
      </c>
      <c r="F51" s="15"/>
      <c r="G51" s="21" t="str">
        <f aca="false">IF(F51="","",F51*$K$4)</f>
        <v/>
      </c>
      <c r="H51" s="22" t="n">
        <f aca="false">IF(L51="Inactive",0,IF(F51&gt;D51,F51-D51,0))</f>
        <v>0</v>
      </c>
      <c r="I51" s="21" t="n">
        <f aca="false">IF(L51="Inactive",0,IF(G51&gt;E51,G51-E51,0))</f>
        <v>0</v>
      </c>
      <c r="J51" s="22" t="n">
        <f aca="false">IF(L51="Inactive",0,IF(D51&gt;F51,D51-F51,0))</f>
        <v>0</v>
      </c>
      <c r="K51" s="21" t="n">
        <f aca="false">IF(L51="Inactive",0,IF(E51&gt;G51,E51-G51,0))</f>
        <v>0</v>
      </c>
      <c r="L51" s="18" t="s">
        <v>19</v>
      </c>
    </row>
    <row r="52" customFormat="false" ht="19.5" hidden="false" customHeight="true" outlineLevel="0" collapsed="false">
      <c r="A52" s="12" t="s">
        <v>179</v>
      </c>
      <c r="B52" s="13"/>
      <c r="C52" s="14" t="str">
        <f aca="false">IF(B52="","",TEXT(B52,"mmmm"))</f>
        <v/>
      </c>
      <c r="D52" s="15"/>
      <c r="E52" s="16" t="str">
        <f aca="false">IF(D52="","",D52*$K$4)</f>
        <v/>
      </c>
      <c r="F52" s="15"/>
      <c r="G52" s="16" t="str">
        <f aca="false">IF(F52="","",F52*$K$4)</f>
        <v/>
      </c>
      <c r="H52" s="17" t="n">
        <f aca="false">IF(L52="Inactive",0,IF(F52&gt;D52,F52-D52,0))</f>
        <v>0</v>
      </c>
      <c r="I52" s="16" t="n">
        <f aca="false">IF(L52="Inactive",0,IF(G52&gt;E52,G52-E52,0))</f>
        <v>0</v>
      </c>
      <c r="J52" s="17" t="n">
        <f aca="false">IF(L52="Inactive",0,IF(D52&gt;F52,D52-F52,0))</f>
        <v>0</v>
      </c>
      <c r="K52" s="16" t="n">
        <f aca="false">IF(L52="Inactive",0,IF(E52&gt;G52,E52-G52,0))</f>
        <v>0</v>
      </c>
      <c r="L52" s="18" t="s">
        <v>19</v>
      </c>
    </row>
    <row r="53" customFormat="false" ht="19.5" hidden="false" customHeight="true" outlineLevel="0" collapsed="false">
      <c r="A53" s="19" t="s">
        <v>180</v>
      </c>
      <c r="B53" s="13"/>
      <c r="C53" s="20" t="str">
        <f aca="false">IF(B53="","",TEXT(B53,"mmmm"))</f>
        <v/>
      </c>
      <c r="D53" s="15"/>
      <c r="E53" s="21" t="str">
        <f aca="false">IF(D53="","",D53*$K$4)</f>
        <v/>
      </c>
      <c r="F53" s="15"/>
      <c r="G53" s="21" t="str">
        <f aca="false">IF(F53="","",F53*$K$4)</f>
        <v/>
      </c>
      <c r="H53" s="22" t="n">
        <f aca="false">IF(L53="Inactive",0,IF(F53&gt;D53,F53-D53,0))</f>
        <v>0</v>
      </c>
      <c r="I53" s="21" t="n">
        <f aca="false">IF(L53="Inactive",0,IF(G53&gt;E53,G53-E53,0))</f>
        <v>0</v>
      </c>
      <c r="J53" s="22" t="n">
        <f aca="false">IF(L53="Inactive",0,IF(D53&gt;F53,D53-F53,0))</f>
        <v>0</v>
      </c>
      <c r="K53" s="21" t="n">
        <f aca="false">IF(L53="Inactive",0,IF(E53&gt;G53,E53-G53,0))</f>
        <v>0</v>
      </c>
      <c r="L53" s="18" t="s">
        <v>19</v>
      </c>
    </row>
    <row r="54" customFormat="false" ht="19.5" hidden="false" customHeight="true" outlineLevel="0" collapsed="false">
      <c r="A54" s="12" t="s">
        <v>181</v>
      </c>
      <c r="B54" s="13"/>
      <c r="C54" s="14" t="str">
        <f aca="false">IF(B54="","",TEXT(B54,"mmmm"))</f>
        <v/>
      </c>
      <c r="D54" s="15"/>
      <c r="E54" s="16" t="str">
        <f aca="false">IF(D54="","",D54*$K$4)</f>
        <v/>
      </c>
      <c r="F54" s="15"/>
      <c r="G54" s="16" t="str">
        <f aca="false">IF(F54="","",F54*$K$4)</f>
        <v/>
      </c>
      <c r="H54" s="17" t="n">
        <f aca="false">IF(L54="Inactive",0,IF(F54&gt;D54,F54-D54,0))</f>
        <v>0</v>
      </c>
      <c r="I54" s="16" t="n">
        <f aca="false">IF(L54="Inactive",0,IF(G54&gt;E54,G54-E54,0))</f>
        <v>0</v>
      </c>
      <c r="J54" s="17" t="n">
        <f aca="false">IF(L54="Inactive",0,IF(D54&gt;F54,D54-F54,0))</f>
        <v>0</v>
      </c>
      <c r="K54" s="16" t="n">
        <f aca="false">IF(L54="Inactive",0,IF(E54&gt;G54,E54-G54,0))</f>
        <v>0</v>
      </c>
      <c r="L54" s="18" t="s">
        <v>19</v>
      </c>
    </row>
    <row r="55" customFormat="false" ht="19.5" hidden="false" customHeight="true" outlineLevel="0" collapsed="false">
      <c r="A55" s="19" t="s">
        <v>182</v>
      </c>
      <c r="B55" s="13"/>
      <c r="C55" s="20" t="str">
        <f aca="false">IF(B55="","",TEXT(B55,"mmmm"))</f>
        <v/>
      </c>
      <c r="D55" s="15"/>
      <c r="E55" s="21" t="str">
        <f aca="false">IF(D55="","",D55*$K$4)</f>
        <v/>
      </c>
      <c r="F55" s="15"/>
      <c r="G55" s="21" t="str">
        <f aca="false">IF(F55="","",F55*$K$4)</f>
        <v/>
      </c>
      <c r="H55" s="22" t="n">
        <f aca="false">IF(L55="Inactive",0,IF(F55&gt;D55,F55-D55,0))</f>
        <v>0</v>
      </c>
      <c r="I55" s="21" t="n">
        <f aca="false">IF(L55="Inactive",0,IF(G55&gt;E55,G55-E55,0))</f>
        <v>0</v>
      </c>
      <c r="J55" s="22" t="n">
        <f aca="false">IF(L55="Inactive",0,IF(D55&gt;F55,D55-F55,0))</f>
        <v>0</v>
      </c>
      <c r="K55" s="21" t="n">
        <f aca="false">IF(L55="Inactive",0,IF(E55&gt;G55,E55-G55,0))</f>
        <v>0</v>
      </c>
      <c r="L55" s="18" t="s">
        <v>19</v>
      </c>
    </row>
    <row r="56" customFormat="false" ht="19.5" hidden="false" customHeight="true" outlineLevel="0" collapsed="false">
      <c r="A56" s="12" t="s">
        <v>183</v>
      </c>
      <c r="B56" s="13"/>
      <c r="C56" s="14" t="str">
        <f aca="false">IF(B56="","",TEXT(B56,"mmmm"))</f>
        <v/>
      </c>
      <c r="D56" s="15"/>
      <c r="E56" s="16" t="str">
        <f aca="false">IF(D56="","",D56*$K$4)</f>
        <v/>
      </c>
      <c r="F56" s="15"/>
      <c r="G56" s="16" t="str">
        <f aca="false">IF(F56="","",F56*$K$4)</f>
        <v/>
      </c>
      <c r="H56" s="17" t="n">
        <f aca="false">IF(L56="Inactive",0,IF(F56&gt;D56,F56-D56,0))</f>
        <v>0</v>
      </c>
      <c r="I56" s="16" t="n">
        <f aca="false">IF(L56="Inactive",0,IF(G56&gt;E56,G56-E56,0))</f>
        <v>0</v>
      </c>
      <c r="J56" s="17" t="n">
        <f aca="false">IF(L56="Inactive",0,IF(D56&gt;F56,D56-F56,0))</f>
        <v>0</v>
      </c>
      <c r="K56" s="16" t="n">
        <f aca="false">IF(L56="Inactive",0,IF(E56&gt;G56,E56-G56,0))</f>
        <v>0</v>
      </c>
      <c r="L56" s="18" t="s">
        <v>19</v>
      </c>
    </row>
    <row r="57" customFormat="false" ht="19.5" hidden="false" customHeight="true" outlineLevel="0" collapsed="false">
      <c r="A57" s="19" t="s">
        <v>184</v>
      </c>
      <c r="B57" s="13"/>
      <c r="C57" s="20" t="str">
        <f aca="false">IF(B57="","",TEXT(B57,"mmmm"))</f>
        <v/>
      </c>
      <c r="D57" s="15"/>
      <c r="E57" s="21" t="str">
        <f aca="false">IF(D57="","",D57*$K$4)</f>
        <v/>
      </c>
      <c r="F57" s="15"/>
      <c r="G57" s="21" t="str">
        <f aca="false">IF(F57="","",F57*$K$4)</f>
        <v/>
      </c>
      <c r="H57" s="22" t="n">
        <f aca="false">IF(L57="Inactive",0,IF(F57&gt;D57,F57-D57,0))</f>
        <v>0</v>
      </c>
      <c r="I57" s="21" t="n">
        <f aca="false">IF(L57="Inactive",0,IF(G57&gt;E57,G57-E57,0))</f>
        <v>0</v>
      </c>
      <c r="J57" s="22" t="n">
        <f aca="false">IF(L57="Inactive",0,IF(D57&gt;F57,D57-F57,0))</f>
        <v>0</v>
      </c>
      <c r="K57" s="21" t="n">
        <f aca="false">IF(L57="Inactive",0,IF(E57&gt;G57,E57-G57,0))</f>
        <v>0</v>
      </c>
      <c r="L57" s="18" t="s">
        <v>19</v>
      </c>
    </row>
    <row r="58" customFormat="false" ht="24" hidden="false" customHeight="true" outlineLevel="0" collapsed="false">
      <c r="A58" s="23" t="s">
        <v>69</v>
      </c>
      <c r="B58" s="23"/>
      <c r="C58" s="23"/>
      <c r="D58" s="24" t="n">
        <f aca="false">SUM(D8:D57)</f>
        <v>0</v>
      </c>
      <c r="E58" s="24" t="n">
        <f aca="false">SUM(E8:E57)</f>
        <v>0</v>
      </c>
      <c r="F58" s="24" t="n">
        <f aca="false">SUM(F8:F57)</f>
        <v>0</v>
      </c>
      <c r="G58" s="24" t="n">
        <f aca="false">SUM(G8:G57)</f>
        <v>0</v>
      </c>
      <c r="H58" s="24" t="n">
        <f aca="false">SUM(H8:H57)</f>
        <v>0</v>
      </c>
      <c r="I58" s="24" t="n">
        <f aca="false">SUM(I8:I57)</f>
        <v>0</v>
      </c>
      <c r="J58" s="24" t="n">
        <f aca="false">SUM(J8:J57)</f>
        <v>0</v>
      </c>
      <c r="K58" s="24" t="n">
        <f aca="false">SUM(K8:K57)</f>
        <v>0</v>
      </c>
      <c r="L58" s="25"/>
    </row>
    <row r="59" customFormat="false" ht="12" hidden="false" customHeight="true" outlineLevel="0" collapsed="false"/>
    <row r="60" customFormat="false" ht="13.5" hidden="false" customHeight="true" outlineLevel="0" collapsed="false">
      <c r="A60" s="26" t="s">
        <v>70</v>
      </c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</row>
    <row r="61" customFormat="false" ht="18" hidden="false" customHeight="true" outlineLevel="0" collapsed="false">
      <c r="A61" s="27" t="s">
        <v>71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</row>
    <row r="62" customFormat="false" ht="27.75" hidden="false" customHeight="true" outlineLevel="0" collapsed="false">
      <c r="A62" s="28" t="s">
        <v>72</v>
      </c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</row>
    <row r="63" customFormat="false" ht="18" hidden="false" customHeight="true" outlineLevel="0" collapsed="false">
      <c r="A63" s="27" t="s">
        <v>73</v>
      </c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</row>
    <row r="64" customFormat="false" ht="27.75" hidden="false" customHeight="true" outlineLevel="0" collapsed="false">
      <c r="A64" s="28" t="s">
        <v>74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</row>
    <row r="65" customFormat="false" ht="18" hidden="false" customHeight="true" outlineLevel="0" collapsed="false">
      <c r="A65" s="27" t="s">
        <v>75</v>
      </c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</row>
    <row r="66" customFormat="false" ht="27.75" hidden="false" customHeight="true" outlineLevel="0" collapsed="false">
      <c r="A66" s="28" t="s">
        <v>76</v>
      </c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</row>
    <row r="67" customFormat="false" ht="18" hidden="false" customHeight="true" outlineLevel="0" collapsed="false">
      <c r="A67" s="27" t="s">
        <v>77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</row>
    <row r="68" customFormat="false" ht="27.75" hidden="false" customHeight="true" outlineLevel="0" collapsed="false">
      <c r="A68" s="28" t="s">
        <v>78</v>
      </c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</row>
    <row r="69" customFormat="false" ht="18" hidden="false" customHeight="true" outlineLevel="0" collapsed="false">
      <c r="A69" s="27" t="s">
        <v>79</v>
      </c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</row>
    <row r="70" customFormat="false" ht="27.75" hidden="false" customHeight="true" outlineLevel="0" collapsed="false">
      <c r="A70" s="28" t="s">
        <v>80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</row>
    <row r="71" customFormat="false" ht="18" hidden="false" customHeight="true" outlineLevel="0" collapsed="false">
      <c r="A71" s="27" t="s">
        <v>81</v>
      </c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</row>
    <row r="72" customFormat="false" ht="27.75" hidden="false" customHeight="true" outlineLevel="0" collapsed="false">
      <c r="A72" s="28" t="s">
        <v>82</v>
      </c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</row>
  </sheetData>
  <mergeCells count="18">
    <mergeCell ref="A1:L3"/>
    <mergeCell ref="A4:I4"/>
    <mergeCell ref="A5:B5"/>
    <mergeCell ref="C5:D5"/>
    <mergeCell ref="A58:C58"/>
    <mergeCell ref="A60:L60"/>
    <mergeCell ref="A61:L61"/>
    <mergeCell ref="A62:L62"/>
    <mergeCell ref="A63:L63"/>
    <mergeCell ref="A64:L64"/>
    <mergeCell ref="A65:L65"/>
    <mergeCell ref="A66:L66"/>
    <mergeCell ref="A67:L67"/>
    <mergeCell ref="A68:L68"/>
    <mergeCell ref="A69:L69"/>
    <mergeCell ref="A70:L70"/>
    <mergeCell ref="A71:L71"/>
    <mergeCell ref="A72:L72"/>
  </mergeCells>
  <conditionalFormatting sqref="L8:L57">
    <cfRule type="cellIs" priority="2" operator="equal" aboveAverage="0" equalAverage="0" bottom="0" percent="0" rank="0" text="" dxfId="0">
      <formula>"Active"</formula>
    </cfRule>
    <cfRule type="cellIs" priority="3" operator="equal" aboveAverage="0" equalAverage="0" bottom="0" percent="0" rank="0" text="" dxfId="1">
      <formula>"Inactive"</formula>
    </cfRule>
  </conditionalFormatting>
  <dataValidations count="2">
    <dataValidation allowBlank="true" error="Invalid Product ID" errorStyle="stop" errorTitle="Selection Error" operator="between" prompt="Choose a Product ID" promptTitle="Quick-View Lookup" showDropDown="false" showErrorMessage="false" showInputMessage="false" sqref="C5" type="list">
      <formula1>"NT1,NT2,NT3,NT4,NT5,NT6,NT7,NT8,NT9,NT10,NT11,NT12,NT13,NT14,NT15,NT16,NT17,NT18,NT19,NT20,NT21,NT22,NT23,NT24,NT25,NT26,NT27,NT28,NT29,NT30,NT31,NT32,NT33,NT34,NT35,NT36,NT37,NT38,NT39,NT40,NT41,NT42,NT43,NT44,NT45,NT46,NT47,NT48,NT49,NT50"</formula1>
      <formula2>0</formula2>
    </dataValidation>
    <dataValidation allowBlank="false" error="Please choose Active or Inactive" errorStyle="stop" errorTitle="Invalid Entry" operator="between" prompt="Select stock status" promptTitle="Stock Status" showDropDown="false" showErrorMessage="false" showInputMessage="false" sqref="L8:L57" type="list">
      <formula1>"Active,Inactive"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6"/>
    <col collapsed="false" customWidth="true" hidden="false" outlineLevel="0" max="3" min="3" style="1" width="18"/>
    <col collapsed="false" customWidth="true" hidden="false" outlineLevel="0" max="5" min="4" style="1" width="20"/>
    <col collapsed="false" customWidth="true" hidden="false" outlineLevel="0" max="7" min="6" style="1" width="18"/>
    <col collapsed="false" customWidth="true" hidden="false" outlineLevel="0" max="9" min="8" style="1" width="16"/>
    <col collapsed="false" customWidth="true" hidden="false" outlineLevel="0" max="12" min="10" style="1" width="14"/>
  </cols>
  <sheetData>
    <row r="1" customFormat="false" ht="9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30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9.7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27.75" hidden="false" customHeight="true" outlineLevel="0" collapsed="false">
      <c r="A4" s="3" t="s">
        <v>185</v>
      </c>
      <c r="B4" s="3"/>
      <c r="C4" s="3"/>
      <c r="D4" s="3"/>
      <c r="E4" s="3"/>
      <c r="F4" s="3"/>
      <c r="G4" s="3"/>
      <c r="H4" s="3"/>
      <c r="I4" s="3"/>
      <c r="J4" s="4" t="s">
        <v>2</v>
      </c>
      <c r="K4" s="5" t="n">
        <v>0.37</v>
      </c>
      <c r="L4" s="6" t="s">
        <v>3</v>
      </c>
    </row>
    <row r="5" customFormat="false" ht="31.5" hidden="false" customHeight="true" outlineLevel="0" collapsed="false">
      <c r="A5" s="7" t="s">
        <v>4</v>
      </c>
      <c r="B5" s="7"/>
      <c r="C5" s="8" t="s">
        <v>5</v>
      </c>
      <c r="D5" s="8"/>
      <c r="E5" s="9" t="str">
        <f aca="false">IFERROR(VLOOKUP(C5,A8:L57,4,0),"")</f>
        <v/>
      </c>
      <c r="F5" s="9" t="str">
        <f aca="false">IFERROR(VLOOKUP(C5,A8:L57,5,0),"")</f>
        <v/>
      </c>
      <c r="G5" s="9" t="str">
        <f aca="false">IFERROR(VLOOKUP(C5,A8:L57,6,0),"")</f>
        <v/>
      </c>
      <c r="H5" s="9" t="str">
        <f aca="false">IFERROR(VLOOKUP(C5,A8:L57,7,0),"")</f>
        <v/>
      </c>
      <c r="I5" s="9" t="str">
        <f aca="false">IFERROR(VLOOKUP(C5,A8:L57,8,0),"")</f>
        <v/>
      </c>
      <c r="J5" s="9" t="str">
        <f aca="false">IFERROR(VLOOKUP(C5,A8:L57,9,0),"")</f>
        <v/>
      </c>
      <c r="K5" s="9" t="str">
        <f aca="false">IFERROR(VLOOKUP(C5,A8:L57,10,0),"")</f>
        <v/>
      </c>
      <c r="L5" s="9" t="str">
        <f aca="false">IFERROR(VLOOKUP(C5,A8:L57,11,0),"")</f>
        <v/>
      </c>
    </row>
    <row r="6" customFormat="false" ht="9.75" hidden="false" customHeight="true" outlineLevel="0" collapsed="false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customFormat="false" ht="36" hidden="false" customHeight="true" outlineLevel="0" collapsed="false">
      <c r="A7" s="11" t="s">
        <v>6</v>
      </c>
      <c r="B7" s="11" t="s">
        <v>7</v>
      </c>
      <c r="C7" s="11" t="s">
        <v>8</v>
      </c>
      <c r="D7" s="11" t="s">
        <v>9</v>
      </c>
      <c r="E7" s="11" t="s">
        <v>10</v>
      </c>
      <c r="F7" s="11" t="s">
        <v>11</v>
      </c>
      <c r="G7" s="11" t="s">
        <v>12</v>
      </c>
      <c r="H7" s="11" t="s">
        <v>13</v>
      </c>
      <c r="I7" s="11" t="s">
        <v>14</v>
      </c>
      <c r="J7" s="11" t="s">
        <v>15</v>
      </c>
      <c r="K7" s="11" t="s">
        <v>16</v>
      </c>
      <c r="L7" s="11" t="s">
        <v>17</v>
      </c>
    </row>
    <row r="8" customFormat="false" ht="19.5" hidden="false" customHeight="true" outlineLevel="0" collapsed="false">
      <c r="A8" s="12" t="s">
        <v>186</v>
      </c>
      <c r="B8" s="13"/>
      <c r="C8" s="14" t="str">
        <f aca="false">IF(B8="","",TEXT(B8,"mmmm"))</f>
        <v/>
      </c>
      <c r="D8" s="15"/>
      <c r="E8" s="16" t="str">
        <f aca="false">IF(D8="","",D8*$K$4)</f>
        <v/>
      </c>
      <c r="F8" s="15"/>
      <c r="G8" s="16" t="str">
        <f aca="false">IF(F8="","",F8*$K$4)</f>
        <v/>
      </c>
      <c r="H8" s="17" t="n">
        <f aca="false">IF(L8="Inactive",0,IF(F8&gt;D8,F8-D8,0))</f>
        <v>0</v>
      </c>
      <c r="I8" s="16" t="n">
        <f aca="false">IF(L8="Inactive",0,IF(G8&gt;E8,G8-E8,0))</f>
        <v>0</v>
      </c>
      <c r="J8" s="17" t="n">
        <f aca="false">IF(L8="Inactive",0,IF(D8&gt;F8,D8-F8,0))</f>
        <v>0</v>
      </c>
      <c r="K8" s="16" t="n">
        <f aca="false">IF(L8="Inactive",0,IF(E8&gt;G8,E8-G8,0))</f>
        <v>0</v>
      </c>
      <c r="L8" s="18" t="s">
        <v>19</v>
      </c>
    </row>
    <row r="9" customFormat="false" ht="19.5" hidden="false" customHeight="true" outlineLevel="0" collapsed="false">
      <c r="A9" s="19" t="s">
        <v>187</v>
      </c>
      <c r="B9" s="13"/>
      <c r="C9" s="20" t="str">
        <f aca="false">IF(B9="","",TEXT(B9,"mmmm"))</f>
        <v/>
      </c>
      <c r="D9" s="15"/>
      <c r="E9" s="21" t="str">
        <f aca="false">IF(D9="","",D9*$K$4)</f>
        <v/>
      </c>
      <c r="F9" s="15"/>
      <c r="G9" s="21" t="str">
        <f aca="false">IF(F9="","",F9*$K$4)</f>
        <v/>
      </c>
      <c r="H9" s="22" t="n">
        <f aca="false">IF(L9="Inactive",0,IF(F9&gt;D9,F9-D9,0))</f>
        <v>0</v>
      </c>
      <c r="I9" s="21" t="n">
        <f aca="false">IF(L9="Inactive",0,IF(G9&gt;E9,G9-E9,0))</f>
        <v>0</v>
      </c>
      <c r="J9" s="22" t="n">
        <f aca="false">IF(L9="Inactive",0,IF(D9&gt;F9,D9-F9,0))</f>
        <v>0</v>
      </c>
      <c r="K9" s="21" t="n">
        <f aca="false">IF(L9="Inactive",0,IF(E9&gt;G9,E9-G9,0))</f>
        <v>0</v>
      </c>
      <c r="L9" s="18" t="s">
        <v>19</v>
      </c>
    </row>
    <row r="10" customFormat="false" ht="19.5" hidden="false" customHeight="true" outlineLevel="0" collapsed="false">
      <c r="A10" s="12" t="s">
        <v>188</v>
      </c>
      <c r="B10" s="13"/>
      <c r="C10" s="14" t="str">
        <f aca="false">IF(B10="","",TEXT(B10,"mmmm"))</f>
        <v/>
      </c>
      <c r="D10" s="15"/>
      <c r="E10" s="16" t="str">
        <f aca="false">IF(D10="","",D10*$K$4)</f>
        <v/>
      </c>
      <c r="F10" s="15"/>
      <c r="G10" s="16" t="str">
        <f aca="false">IF(F10="","",F10*$K$4)</f>
        <v/>
      </c>
      <c r="H10" s="17" t="n">
        <f aca="false">IF(L10="Inactive",0,IF(F10&gt;D10,F10-D10,0))</f>
        <v>0</v>
      </c>
      <c r="I10" s="16" t="n">
        <f aca="false">IF(L10="Inactive",0,IF(G10&gt;E10,G10-E10,0))</f>
        <v>0</v>
      </c>
      <c r="J10" s="17" t="n">
        <f aca="false">IF(L10="Inactive",0,IF(D10&gt;F10,D10-F10,0))</f>
        <v>0</v>
      </c>
      <c r="K10" s="16" t="n">
        <f aca="false">IF(L10="Inactive",0,IF(E10&gt;G10,E10-G10,0))</f>
        <v>0</v>
      </c>
      <c r="L10" s="18" t="s">
        <v>19</v>
      </c>
    </row>
    <row r="11" customFormat="false" ht="19.5" hidden="false" customHeight="true" outlineLevel="0" collapsed="false">
      <c r="A11" s="19" t="s">
        <v>189</v>
      </c>
      <c r="B11" s="13"/>
      <c r="C11" s="20" t="str">
        <f aca="false">IF(B11="","",TEXT(B11,"mmmm"))</f>
        <v/>
      </c>
      <c r="D11" s="15"/>
      <c r="E11" s="21" t="str">
        <f aca="false">IF(D11="","",D11*$K$4)</f>
        <v/>
      </c>
      <c r="F11" s="15"/>
      <c r="G11" s="21" t="str">
        <f aca="false">IF(F11="","",F11*$K$4)</f>
        <v/>
      </c>
      <c r="H11" s="22" t="n">
        <f aca="false">IF(L11="Inactive",0,IF(F11&gt;D11,F11-D11,0))</f>
        <v>0</v>
      </c>
      <c r="I11" s="21" t="n">
        <f aca="false">IF(L11="Inactive",0,IF(G11&gt;E11,G11-E11,0))</f>
        <v>0</v>
      </c>
      <c r="J11" s="22" t="n">
        <f aca="false">IF(L11="Inactive",0,IF(D11&gt;F11,D11-F11,0))</f>
        <v>0</v>
      </c>
      <c r="K11" s="21" t="n">
        <f aca="false">IF(L11="Inactive",0,IF(E11&gt;G11,E11-G11,0))</f>
        <v>0</v>
      </c>
      <c r="L11" s="18" t="s">
        <v>19</v>
      </c>
    </row>
    <row r="12" customFormat="false" ht="19.5" hidden="false" customHeight="true" outlineLevel="0" collapsed="false">
      <c r="A12" s="12" t="s">
        <v>190</v>
      </c>
      <c r="B12" s="13"/>
      <c r="C12" s="14" t="str">
        <f aca="false">IF(B12="","",TEXT(B12,"mmmm"))</f>
        <v/>
      </c>
      <c r="D12" s="15"/>
      <c r="E12" s="16" t="str">
        <f aca="false">IF(D12="","",D12*$K$4)</f>
        <v/>
      </c>
      <c r="F12" s="15"/>
      <c r="G12" s="16" t="str">
        <f aca="false">IF(F12="","",F12*$K$4)</f>
        <v/>
      </c>
      <c r="H12" s="17" t="n">
        <f aca="false">IF(L12="Inactive",0,IF(F12&gt;D12,F12-D12,0))</f>
        <v>0</v>
      </c>
      <c r="I12" s="16" t="n">
        <f aca="false">IF(L12="Inactive",0,IF(G12&gt;E12,G12-E12,0))</f>
        <v>0</v>
      </c>
      <c r="J12" s="17" t="n">
        <f aca="false">IF(L12="Inactive",0,IF(D12&gt;F12,D12-F12,0))</f>
        <v>0</v>
      </c>
      <c r="K12" s="16" t="n">
        <f aca="false">IF(L12="Inactive",0,IF(E12&gt;G12,E12-G12,0))</f>
        <v>0</v>
      </c>
      <c r="L12" s="18" t="s">
        <v>19</v>
      </c>
    </row>
    <row r="13" customFormat="false" ht="19.5" hidden="false" customHeight="true" outlineLevel="0" collapsed="false">
      <c r="A13" s="19" t="s">
        <v>191</v>
      </c>
      <c r="B13" s="13"/>
      <c r="C13" s="20" t="str">
        <f aca="false">IF(B13="","",TEXT(B13,"mmmm"))</f>
        <v/>
      </c>
      <c r="D13" s="15"/>
      <c r="E13" s="21" t="str">
        <f aca="false">IF(D13="","",D13*$K$4)</f>
        <v/>
      </c>
      <c r="F13" s="15"/>
      <c r="G13" s="21" t="str">
        <f aca="false">IF(F13="","",F13*$K$4)</f>
        <v/>
      </c>
      <c r="H13" s="22" t="n">
        <f aca="false">IF(L13="Inactive",0,IF(F13&gt;D13,F13-D13,0))</f>
        <v>0</v>
      </c>
      <c r="I13" s="21" t="n">
        <f aca="false">IF(L13="Inactive",0,IF(G13&gt;E13,G13-E13,0))</f>
        <v>0</v>
      </c>
      <c r="J13" s="22" t="n">
        <f aca="false">IF(L13="Inactive",0,IF(D13&gt;F13,D13-F13,0))</f>
        <v>0</v>
      </c>
      <c r="K13" s="21" t="n">
        <f aca="false">IF(L13="Inactive",0,IF(E13&gt;G13,E13-G13,0))</f>
        <v>0</v>
      </c>
      <c r="L13" s="18" t="s">
        <v>19</v>
      </c>
    </row>
    <row r="14" customFormat="false" ht="19.5" hidden="false" customHeight="true" outlineLevel="0" collapsed="false">
      <c r="A14" s="12" t="s">
        <v>192</v>
      </c>
      <c r="B14" s="13"/>
      <c r="C14" s="14" t="str">
        <f aca="false">IF(B14="","",TEXT(B14,"mmmm"))</f>
        <v/>
      </c>
      <c r="D14" s="15"/>
      <c r="E14" s="16" t="str">
        <f aca="false">IF(D14="","",D14*$K$4)</f>
        <v/>
      </c>
      <c r="F14" s="15"/>
      <c r="G14" s="16" t="str">
        <f aca="false">IF(F14="","",F14*$K$4)</f>
        <v/>
      </c>
      <c r="H14" s="17" t="n">
        <f aca="false">IF(L14="Inactive",0,IF(F14&gt;D14,F14-D14,0))</f>
        <v>0</v>
      </c>
      <c r="I14" s="16" t="n">
        <f aca="false">IF(L14="Inactive",0,IF(G14&gt;E14,G14-E14,0))</f>
        <v>0</v>
      </c>
      <c r="J14" s="17" t="n">
        <f aca="false">IF(L14="Inactive",0,IF(D14&gt;F14,D14-F14,0))</f>
        <v>0</v>
      </c>
      <c r="K14" s="16" t="n">
        <f aca="false">IF(L14="Inactive",0,IF(E14&gt;G14,E14-G14,0))</f>
        <v>0</v>
      </c>
      <c r="L14" s="18" t="s">
        <v>19</v>
      </c>
    </row>
    <row r="15" customFormat="false" ht="19.5" hidden="false" customHeight="true" outlineLevel="0" collapsed="false">
      <c r="A15" s="19" t="s">
        <v>193</v>
      </c>
      <c r="B15" s="13"/>
      <c r="C15" s="20" t="str">
        <f aca="false">IF(B15="","",TEXT(B15,"mmmm"))</f>
        <v/>
      </c>
      <c r="D15" s="15"/>
      <c r="E15" s="21" t="str">
        <f aca="false">IF(D15="","",D15*$K$4)</f>
        <v/>
      </c>
      <c r="F15" s="15"/>
      <c r="G15" s="21" t="str">
        <f aca="false">IF(F15="","",F15*$K$4)</f>
        <v/>
      </c>
      <c r="H15" s="22" t="n">
        <f aca="false">IF(L15="Inactive",0,IF(F15&gt;D15,F15-D15,0))</f>
        <v>0</v>
      </c>
      <c r="I15" s="21" t="n">
        <f aca="false">IF(L15="Inactive",0,IF(G15&gt;E15,G15-E15,0))</f>
        <v>0</v>
      </c>
      <c r="J15" s="22" t="n">
        <f aca="false">IF(L15="Inactive",0,IF(D15&gt;F15,D15-F15,0))</f>
        <v>0</v>
      </c>
      <c r="K15" s="21" t="n">
        <f aca="false">IF(L15="Inactive",0,IF(E15&gt;G15,E15-G15,0))</f>
        <v>0</v>
      </c>
      <c r="L15" s="18" t="s">
        <v>19</v>
      </c>
    </row>
    <row r="16" customFormat="false" ht="19.5" hidden="false" customHeight="true" outlineLevel="0" collapsed="false">
      <c r="A16" s="12" t="s">
        <v>194</v>
      </c>
      <c r="B16" s="13"/>
      <c r="C16" s="14" t="str">
        <f aca="false">IF(B16="","",TEXT(B16,"mmmm"))</f>
        <v/>
      </c>
      <c r="D16" s="15"/>
      <c r="E16" s="16" t="str">
        <f aca="false">IF(D16="","",D16*$K$4)</f>
        <v/>
      </c>
      <c r="F16" s="15"/>
      <c r="G16" s="16" t="str">
        <f aca="false">IF(F16="","",F16*$K$4)</f>
        <v/>
      </c>
      <c r="H16" s="17" t="n">
        <f aca="false">IF(L16="Inactive",0,IF(F16&gt;D16,F16-D16,0))</f>
        <v>0</v>
      </c>
      <c r="I16" s="16" t="n">
        <f aca="false">IF(L16="Inactive",0,IF(G16&gt;E16,G16-E16,0))</f>
        <v>0</v>
      </c>
      <c r="J16" s="17" t="n">
        <f aca="false">IF(L16="Inactive",0,IF(D16&gt;F16,D16-F16,0))</f>
        <v>0</v>
      </c>
      <c r="K16" s="16" t="n">
        <f aca="false">IF(L16="Inactive",0,IF(E16&gt;G16,E16-G16,0))</f>
        <v>0</v>
      </c>
      <c r="L16" s="18" t="s">
        <v>19</v>
      </c>
    </row>
    <row r="17" customFormat="false" ht="19.5" hidden="false" customHeight="true" outlineLevel="0" collapsed="false">
      <c r="A17" s="19" t="s">
        <v>195</v>
      </c>
      <c r="B17" s="13"/>
      <c r="C17" s="20" t="str">
        <f aca="false">IF(B17="","",TEXT(B17,"mmmm"))</f>
        <v/>
      </c>
      <c r="D17" s="15"/>
      <c r="E17" s="21" t="str">
        <f aca="false">IF(D17="","",D17*$K$4)</f>
        <v/>
      </c>
      <c r="F17" s="15"/>
      <c r="G17" s="21" t="str">
        <f aca="false">IF(F17="","",F17*$K$4)</f>
        <v/>
      </c>
      <c r="H17" s="22" t="n">
        <f aca="false">IF(L17="Inactive",0,IF(F17&gt;D17,F17-D17,0))</f>
        <v>0</v>
      </c>
      <c r="I17" s="21" t="n">
        <f aca="false">IF(L17="Inactive",0,IF(G17&gt;E17,G17-E17,0))</f>
        <v>0</v>
      </c>
      <c r="J17" s="22" t="n">
        <f aca="false">IF(L17="Inactive",0,IF(D17&gt;F17,D17-F17,0))</f>
        <v>0</v>
      </c>
      <c r="K17" s="21" t="n">
        <f aca="false">IF(L17="Inactive",0,IF(E17&gt;G17,E17-G17,0))</f>
        <v>0</v>
      </c>
      <c r="L17" s="18" t="s">
        <v>19</v>
      </c>
    </row>
    <row r="18" customFormat="false" ht="19.5" hidden="false" customHeight="true" outlineLevel="0" collapsed="false">
      <c r="A18" s="12" t="s">
        <v>196</v>
      </c>
      <c r="B18" s="13"/>
      <c r="C18" s="14" t="str">
        <f aca="false">IF(B18="","",TEXT(B18,"mmmm"))</f>
        <v/>
      </c>
      <c r="D18" s="15"/>
      <c r="E18" s="16" t="str">
        <f aca="false">IF(D18="","",D18*$K$4)</f>
        <v/>
      </c>
      <c r="F18" s="15"/>
      <c r="G18" s="16" t="str">
        <f aca="false">IF(F18="","",F18*$K$4)</f>
        <v/>
      </c>
      <c r="H18" s="17" t="n">
        <f aca="false">IF(L18="Inactive",0,IF(F18&gt;D18,F18-D18,0))</f>
        <v>0</v>
      </c>
      <c r="I18" s="16" t="n">
        <f aca="false">IF(L18="Inactive",0,IF(G18&gt;E18,G18-E18,0))</f>
        <v>0</v>
      </c>
      <c r="J18" s="17" t="n">
        <f aca="false">IF(L18="Inactive",0,IF(D18&gt;F18,D18-F18,0))</f>
        <v>0</v>
      </c>
      <c r="K18" s="16" t="n">
        <f aca="false">IF(L18="Inactive",0,IF(E18&gt;G18,E18-G18,0))</f>
        <v>0</v>
      </c>
      <c r="L18" s="18" t="s">
        <v>19</v>
      </c>
    </row>
    <row r="19" customFormat="false" ht="19.5" hidden="false" customHeight="true" outlineLevel="0" collapsed="false">
      <c r="A19" s="19" t="s">
        <v>197</v>
      </c>
      <c r="B19" s="13"/>
      <c r="C19" s="20" t="str">
        <f aca="false">IF(B19="","",TEXT(B19,"mmmm"))</f>
        <v/>
      </c>
      <c r="D19" s="15"/>
      <c r="E19" s="21" t="str">
        <f aca="false">IF(D19="","",D19*$K$4)</f>
        <v/>
      </c>
      <c r="F19" s="15"/>
      <c r="G19" s="21" t="str">
        <f aca="false">IF(F19="","",F19*$K$4)</f>
        <v/>
      </c>
      <c r="H19" s="22" t="n">
        <f aca="false">IF(L19="Inactive",0,IF(F19&gt;D19,F19-D19,0))</f>
        <v>0</v>
      </c>
      <c r="I19" s="21" t="n">
        <f aca="false">IF(L19="Inactive",0,IF(G19&gt;E19,G19-E19,0))</f>
        <v>0</v>
      </c>
      <c r="J19" s="22" t="n">
        <f aca="false">IF(L19="Inactive",0,IF(D19&gt;F19,D19-F19,0))</f>
        <v>0</v>
      </c>
      <c r="K19" s="21" t="n">
        <f aca="false">IF(L19="Inactive",0,IF(E19&gt;G19,E19-G19,0))</f>
        <v>0</v>
      </c>
      <c r="L19" s="18" t="s">
        <v>19</v>
      </c>
    </row>
    <row r="20" customFormat="false" ht="19.5" hidden="false" customHeight="true" outlineLevel="0" collapsed="false">
      <c r="A20" s="12" t="s">
        <v>198</v>
      </c>
      <c r="B20" s="13"/>
      <c r="C20" s="14" t="str">
        <f aca="false">IF(B20="","",TEXT(B20,"mmmm"))</f>
        <v/>
      </c>
      <c r="D20" s="15"/>
      <c r="E20" s="16" t="str">
        <f aca="false">IF(D20="","",D20*$K$4)</f>
        <v/>
      </c>
      <c r="F20" s="15"/>
      <c r="G20" s="16" t="str">
        <f aca="false">IF(F20="","",F20*$K$4)</f>
        <v/>
      </c>
      <c r="H20" s="17" t="n">
        <f aca="false">IF(L20="Inactive",0,IF(F20&gt;D20,F20-D20,0))</f>
        <v>0</v>
      </c>
      <c r="I20" s="16" t="n">
        <f aca="false">IF(L20="Inactive",0,IF(G20&gt;E20,G20-E20,0))</f>
        <v>0</v>
      </c>
      <c r="J20" s="17" t="n">
        <f aca="false">IF(L20="Inactive",0,IF(D20&gt;F20,D20-F20,0))</f>
        <v>0</v>
      </c>
      <c r="K20" s="16" t="n">
        <f aca="false">IF(L20="Inactive",0,IF(E20&gt;G20,E20-G20,0))</f>
        <v>0</v>
      </c>
      <c r="L20" s="18" t="s">
        <v>19</v>
      </c>
    </row>
    <row r="21" customFormat="false" ht="19.5" hidden="false" customHeight="true" outlineLevel="0" collapsed="false">
      <c r="A21" s="19" t="s">
        <v>199</v>
      </c>
      <c r="B21" s="13"/>
      <c r="C21" s="20" t="str">
        <f aca="false">IF(B21="","",TEXT(B21,"mmmm"))</f>
        <v/>
      </c>
      <c r="D21" s="15"/>
      <c r="E21" s="21" t="str">
        <f aca="false">IF(D21="","",D21*$K$4)</f>
        <v/>
      </c>
      <c r="F21" s="15"/>
      <c r="G21" s="21" t="str">
        <f aca="false">IF(F21="","",F21*$K$4)</f>
        <v/>
      </c>
      <c r="H21" s="22" t="n">
        <f aca="false">IF(L21="Inactive",0,IF(F21&gt;D21,F21-D21,0))</f>
        <v>0</v>
      </c>
      <c r="I21" s="21" t="n">
        <f aca="false">IF(L21="Inactive",0,IF(G21&gt;E21,G21-E21,0))</f>
        <v>0</v>
      </c>
      <c r="J21" s="22" t="n">
        <f aca="false">IF(L21="Inactive",0,IF(D21&gt;F21,D21-F21,0))</f>
        <v>0</v>
      </c>
      <c r="K21" s="21" t="n">
        <f aca="false">IF(L21="Inactive",0,IF(E21&gt;G21,E21-G21,0))</f>
        <v>0</v>
      </c>
      <c r="L21" s="18" t="s">
        <v>19</v>
      </c>
    </row>
    <row r="22" customFormat="false" ht="19.5" hidden="false" customHeight="true" outlineLevel="0" collapsed="false">
      <c r="A22" s="12" t="s">
        <v>200</v>
      </c>
      <c r="B22" s="13"/>
      <c r="C22" s="14" t="str">
        <f aca="false">IF(B22="","",TEXT(B22,"mmmm"))</f>
        <v/>
      </c>
      <c r="D22" s="15"/>
      <c r="E22" s="16" t="str">
        <f aca="false">IF(D22="","",D22*$K$4)</f>
        <v/>
      </c>
      <c r="F22" s="15"/>
      <c r="G22" s="16" t="str">
        <f aca="false">IF(F22="","",F22*$K$4)</f>
        <v/>
      </c>
      <c r="H22" s="17" t="n">
        <f aca="false">IF(L22="Inactive",0,IF(F22&gt;D22,F22-D22,0))</f>
        <v>0</v>
      </c>
      <c r="I22" s="16" t="n">
        <f aca="false">IF(L22="Inactive",0,IF(G22&gt;E22,G22-E22,0))</f>
        <v>0</v>
      </c>
      <c r="J22" s="17" t="n">
        <f aca="false">IF(L22="Inactive",0,IF(D22&gt;F22,D22-F22,0))</f>
        <v>0</v>
      </c>
      <c r="K22" s="16" t="n">
        <f aca="false">IF(L22="Inactive",0,IF(E22&gt;G22,E22-G22,0))</f>
        <v>0</v>
      </c>
      <c r="L22" s="18" t="s">
        <v>19</v>
      </c>
    </row>
    <row r="23" customFormat="false" ht="19.5" hidden="false" customHeight="true" outlineLevel="0" collapsed="false">
      <c r="A23" s="19" t="s">
        <v>201</v>
      </c>
      <c r="B23" s="13"/>
      <c r="C23" s="20" t="str">
        <f aca="false">IF(B23="","",TEXT(B23,"mmmm"))</f>
        <v/>
      </c>
      <c r="D23" s="15"/>
      <c r="E23" s="21" t="str">
        <f aca="false">IF(D23="","",D23*$K$4)</f>
        <v/>
      </c>
      <c r="F23" s="15"/>
      <c r="G23" s="21" t="str">
        <f aca="false">IF(F23="","",F23*$K$4)</f>
        <v/>
      </c>
      <c r="H23" s="22" t="n">
        <f aca="false">IF(L23="Inactive",0,IF(F23&gt;D23,F23-D23,0))</f>
        <v>0</v>
      </c>
      <c r="I23" s="21" t="n">
        <f aca="false">IF(L23="Inactive",0,IF(G23&gt;E23,G23-E23,0))</f>
        <v>0</v>
      </c>
      <c r="J23" s="22" t="n">
        <f aca="false">IF(L23="Inactive",0,IF(D23&gt;F23,D23-F23,0))</f>
        <v>0</v>
      </c>
      <c r="K23" s="21" t="n">
        <f aca="false">IF(L23="Inactive",0,IF(E23&gt;G23,E23-G23,0))</f>
        <v>0</v>
      </c>
      <c r="L23" s="18" t="s">
        <v>19</v>
      </c>
    </row>
    <row r="24" customFormat="false" ht="19.5" hidden="false" customHeight="true" outlineLevel="0" collapsed="false">
      <c r="A24" s="12" t="s">
        <v>202</v>
      </c>
      <c r="B24" s="13"/>
      <c r="C24" s="14" t="str">
        <f aca="false">IF(B24="","",TEXT(B24,"mmmm"))</f>
        <v/>
      </c>
      <c r="D24" s="15"/>
      <c r="E24" s="16" t="str">
        <f aca="false">IF(D24="","",D24*$K$4)</f>
        <v/>
      </c>
      <c r="F24" s="15"/>
      <c r="G24" s="16" t="str">
        <f aca="false">IF(F24="","",F24*$K$4)</f>
        <v/>
      </c>
      <c r="H24" s="17" t="n">
        <f aca="false">IF(L24="Inactive",0,IF(F24&gt;D24,F24-D24,0))</f>
        <v>0</v>
      </c>
      <c r="I24" s="16" t="n">
        <f aca="false">IF(L24="Inactive",0,IF(G24&gt;E24,G24-E24,0))</f>
        <v>0</v>
      </c>
      <c r="J24" s="17" t="n">
        <f aca="false">IF(L24="Inactive",0,IF(D24&gt;F24,D24-F24,0))</f>
        <v>0</v>
      </c>
      <c r="K24" s="16" t="n">
        <f aca="false">IF(L24="Inactive",0,IF(E24&gt;G24,E24-G24,0))</f>
        <v>0</v>
      </c>
      <c r="L24" s="18" t="s">
        <v>19</v>
      </c>
    </row>
    <row r="25" customFormat="false" ht="19.5" hidden="false" customHeight="true" outlineLevel="0" collapsed="false">
      <c r="A25" s="19" t="s">
        <v>203</v>
      </c>
      <c r="B25" s="13"/>
      <c r="C25" s="20" t="str">
        <f aca="false">IF(B25="","",TEXT(B25,"mmmm"))</f>
        <v/>
      </c>
      <c r="D25" s="15"/>
      <c r="E25" s="21" t="str">
        <f aca="false">IF(D25="","",D25*$K$4)</f>
        <v/>
      </c>
      <c r="F25" s="15"/>
      <c r="G25" s="21" t="str">
        <f aca="false">IF(F25="","",F25*$K$4)</f>
        <v/>
      </c>
      <c r="H25" s="22" t="n">
        <f aca="false">IF(L25="Inactive",0,IF(F25&gt;D25,F25-D25,0))</f>
        <v>0</v>
      </c>
      <c r="I25" s="21" t="n">
        <f aca="false">IF(L25="Inactive",0,IF(G25&gt;E25,G25-E25,0))</f>
        <v>0</v>
      </c>
      <c r="J25" s="22" t="n">
        <f aca="false">IF(L25="Inactive",0,IF(D25&gt;F25,D25-F25,0))</f>
        <v>0</v>
      </c>
      <c r="K25" s="21" t="n">
        <f aca="false">IF(L25="Inactive",0,IF(E25&gt;G25,E25-G25,0))</f>
        <v>0</v>
      </c>
      <c r="L25" s="18" t="s">
        <v>19</v>
      </c>
    </row>
    <row r="26" customFormat="false" ht="19.5" hidden="false" customHeight="true" outlineLevel="0" collapsed="false">
      <c r="A26" s="12" t="s">
        <v>204</v>
      </c>
      <c r="B26" s="13"/>
      <c r="C26" s="14" t="str">
        <f aca="false">IF(B26="","",TEXT(B26,"mmmm"))</f>
        <v/>
      </c>
      <c r="D26" s="15"/>
      <c r="E26" s="16" t="str">
        <f aca="false">IF(D26="","",D26*$K$4)</f>
        <v/>
      </c>
      <c r="F26" s="15"/>
      <c r="G26" s="16" t="str">
        <f aca="false">IF(F26="","",F26*$K$4)</f>
        <v/>
      </c>
      <c r="H26" s="17" t="n">
        <f aca="false">IF(L26="Inactive",0,IF(F26&gt;D26,F26-D26,0))</f>
        <v>0</v>
      </c>
      <c r="I26" s="16" t="n">
        <f aca="false">IF(L26="Inactive",0,IF(G26&gt;E26,G26-E26,0))</f>
        <v>0</v>
      </c>
      <c r="J26" s="17" t="n">
        <f aca="false">IF(L26="Inactive",0,IF(D26&gt;F26,D26-F26,0))</f>
        <v>0</v>
      </c>
      <c r="K26" s="16" t="n">
        <f aca="false">IF(L26="Inactive",0,IF(E26&gt;G26,E26-G26,0))</f>
        <v>0</v>
      </c>
      <c r="L26" s="18" t="s">
        <v>19</v>
      </c>
    </row>
    <row r="27" customFormat="false" ht="19.5" hidden="false" customHeight="true" outlineLevel="0" collapsed="false">
      <c r="A27" s="19" t="s">
        <v>205</v>
      </c>
      <c r="B27" s="13"/>
      <c r="C27" s="20" t="str">
        <f aca="false">IF(B27="","",TEXT(B27,"mmmm"))</f>
        <v/>
      </c>
      <c r="D27" s="15"/>
      <c r="E27" s="21" t="str">
        <f aca="false">IF(D27="","",D27*$K$4)</f>
        <v/>
      </c>
      <c r="F27" s="15"/>
      <c r="G27" s="21" t="str">
        <f aca="false">IF(F27="","",F27*$K$4)</f>
        <v/>
      </c>
      <c r="H27" s="22" t="n">
        <f aca="false">IF(L27="Inactive",0,IF(F27&gt;D27,F27-D27,0))</f>
        <v>0</v>
      </c>
      <c r="I27" s="21" t="n">
        <f aca="false">IF(L27="Inactive",0,IF(G27&gt;E27,G27-E27,0))</f>
        <v>0</v>
      </c>
      <c r="J27" s="22" t="n">
        <f aca="false">IF(L27="Inactive",0,IF(D27&gt;F27,D27-F27,0))</f>
        <v>0</v>
      </c>
      <c r="K27" s="21" t="n">
        <f aca="false">IF(L27="Inactive",0,IF(E27&gt;G27,E27-G27,0))</f>
        <v>0</v>
      </c>
      <c r="L27" s="18" t="s">
        <v>19</v>
      </c>
    </row>
    <row r="28" customFormat="false" ht="19.5" hidden="false" customHeight="true" outlineLevel="0" collapsed="false">
      <c r="A28" s="12" t="s">
        <v>206</v>
      </c>
      <c r="B28" s="13"/>
      <c r="C28" s="14" t="str">
        <f aca="false">IF(B28="","",TEXT(B28,"mmmm"))</f>
        <v/>
      </c>
      <c r="D28" s="15"/>
      <c r="E28" s="16" t="str">
        <f aca="false">IF(D28="","",D28*$K$4)</f>
        <v/>
      </c>
      <c r="F28" s="15"/>
      <c r="G28" s="16" t="str">
        <f aca="false">IF(F28="","",F28*$K$4)</f>
        <v/>
      </c>
      <c r="H28" s="17" t="n">
        <f aca="false">IF(L28="Inactive",0,IF(F28&gt;D28,F28-D28,0))</f>
        <v>0</v>
      </c>
      <c r="I28" s="16" t="n">
        <f aca="false">IF(L28="Inactive",0,IF(G28&gt;E28,G28-E28,0))</f>
        <v>0</v>
      </c>
      <c r="J28" s="17" t="n">
        <f aca="false">IF(L28="Inactive",0,IF(D28&gt;F28,D28-F28,0))</f>
        <v>0</v>
      </c>
      <c r="K28" s="16" t="n">
        <f aca="false">IF(L28="Inactive",0,IF(E28&gt;G28,E28-G28,0))</f>
        <v>0</v>
      </c>
      <c r="L28" s="18" t="s">
        <v>19</v>
      </c>
    </row>
    <row r="29" customFormat="false" ht="19.5" hidden="false" customHeight="true" outlineLevel="0" collapsed="false">
      <c r="A29" s="19" t="s">
        <v>207</v>
      </c>
      <c r="B29" s="13"/>
      <c r="C29" s="20" t="str">
        <f aca="false">IF(B29="","",TEXT(B29,"mmmm"))</f>
        <v/>
      </c>
      <c r="D29" s="15"/>
      <c r="E29" s="21" t="str">
        <f aca="false">IF(D29="","",D29*$K$4)</f>
        <v/>
      </c>
      <c r="F29" s="15"/>
      <c r="G29" s="21" t="str">
        <f aca="false">IF(F29="","",F29*$K$4)</f>
        <v/>
      </c>
      <c r="H29" s="22" t="n">
        <f aca="false">IF(L29="Inactive",0,IF(F29&gt;D29,F29-D29,0))</f>
        <v>0</v>
      </c>
      <c r="I29" s="21" t="n">
        <f aca="false">IF(L29="Inactive",0,IF(G29&gt;E29,G29-E29,0))</f>
        <v>0</v>
      </c>
      <c r="J29" s="22" t="n">
        <f aca="false">IF(L29="Inactive",0,IF(D29&gt;F29,D29-F29,0))</f>
        <v>0</v>
      </c>
      <c r="K29" s="21" t="n">
        <f aca="false">IF(L29="Inactive",0,IF(E29&gt;G29,E29-G29,0))</f>
        <v>0</v>
      </c>
      <c r="L29" s="18" t="s">
        <v>19</v>
      </c>
    </row>
    <row r="30" customFormat="false" ht="19.5" hidden="false" customHeight="true" outlineLevel="0" collapsed="false">
      <c r="A30" s="12" t="s">
        <v>208</v>
      </c>
      <c r="B30" s="13"/>
      <c r="C30" s="14" t="str">
        <f aca="false">IF(B30="","",TEXT(B30,"mmmm"))</f>
        <v/>
      </c>
      <c r="D30" s="15"/>
      <c r="E30" s="16" t="str">
        <f aca="false">IF(D30="","",D30*$K$4)</f>
        <v/>
      </c>
      <c r="F30" s="15"/>
      <c r="G30" s="16" t="str">
        <f aca="false">IF(F30="","",F30*$K$4)</f>
        <v/>
      </c>
      <c r="H30" s="17" t="n">
        <f aca="false">IF(L30="Inactive",0,IF(F30&gt;D30,F30-D30,0))</f>
        <v>0</v>
      </c>
      <c r="I30" s="16" t="n">
        <f aca="false">IF(L30="Inactive",0,IF(G30&gt;E30,G30-E30,0))</f>
        <v>0</v>
      </c>
      <c r="J30" s="17" t="n">
        <f aca="false">IF(L30="Inactive",0,IF(D30&gt;F30,D30-F30,0))</f>
        <v>0</v>
      </c>
      <c r="K30" s="16" t="n">
        <f aca="false">IF(L30="Inactive",0,IF(E30&gt;G30,E30-G30,0))</f>
        <v>0</v>
      </c>
      <c r="L30" s="18" t="s">
        <v>19</v>
      </c>
    </row>
    <row r="31" customFormat="false" ht="19.5" hidden="false" customHeight="true" outlineLevel="0" collapsed="false">
      <c r="A31" s="19" t="s">
        <v>209</v>
      </c>
      <c r="B31" s="13"/>
      <c r="C31" s="20" t="str">
        <f aca="false">IF(B31="","",TEXT(B31,"mmmm"))</f>
        <v/>
      </c>
      <c r="D31" s="15"/>
      <c r="E31" s="21" t="str">
        <f aca="false">IF(D31="","",D31*$K$4)</f>
        <v/>
      </c>
      <c r="F31" s="15"/>
      <c r="G31" s="21" t="str">
        <f aca="false">IF(F31="","",F31*$K$4)</f>
        <v/>
      </c>
      <c r="H31" s="22" t="n">
        <f aca="false">IF(L31="Inactive",0,IF(F31&gt;D31,F31-D31,0))</f>
        <v>0</v>
      </c>
      <c r="I31" s="21" t="n">
        <f aca="false">IF(L31="Inactive",0,IF(G31&gt;E31,G31-E31,0))</f>
        <v>0</v>
      </c>
      <c r="J31" s="22" t="n">
        <f aca="false">IF(L31="Inactive",0,IF(D31&gt;F31,D31-F31,0))</f>
        <v>0</v>
      </c>
      <c r="K31" s="21" t="n">
        <f aca="false">IF(L31="Inactive",0,IF(E31&gt;G31,E31-G31,0))</f>
        <v>0</v>
      </c>
      <c r="L31" s="18" t="s">
        <v>19</v>
      </c>
    </row>
    <row r="32" customFormat="false" ht="19.5" hidden="false" customHeight="true" outlineLevel="0" collapsed="false">
      <c r="A32" s="12" t="s">
        <v>210</v>
      </c>
      <c r="B32" s="13"/>
      <c r="C32" s="14" t="str">
        <f aca="false">IF(B32="","",TEXT(B32,"mmmm"))</f>
        <v/>
      </c>
      <c r="D32" s="15"/>
      <c r="E32" s="16" t="str">
        <f aca="false">IF(D32="","",D32*$K$4)</f>
        <v/>
      </c>
      <c r="F32" s="15"/>
      <c r="G32" s="16" t="str">
        <f aca="false">IF(F32="","",F32*$K$4)</f>
        <v/>
      </c>
      <c r="H32" s="17" t="n">
        <f aca="false">IF(L32="Inactive",0,IF(F32&gt;D32,F32-D32,0))</f>
        <v>0</v>
      </c>
      <c r="I32" s="16" t="n">
        <f aca="false">IF(L32="Inactive",0,IF(G32&gt;E32,G32-E32,0))</f>
        <v>0</v>
      </c>
      <c r="J32" s="17" t="n">
        <f aca="false">IF(L32="Inactive",0,IF(D32&gt;F32,D32-F32,0))</f>
        <v>0</v>
      </c>
      <c r="K32" s="16" t="n">
        <f aca="false">IF(L32="Inactive",0,IF(E32&gt;G32,E32-G32,0))</f>
        <v>0</v>
      </c>
      <c r="L32" s="18" t="s">
        <v>19</v>
      </c>
    </row>
    <row r="33" customFormat="false" ht="19.5" hidden="false" customHeight="true" outlineLevel="0" collapsed="false">
      <c r="A33" s="19" t="s">
        <v>211</v>
      </c>
      <c r="B33" s="13"/>
      <c r="C33" s="20" t="str">
        <f aca="false">IF(B33="","",TEXT(B33,"mmmm"))</f>
        <v/>
      </c>
      <c r="D33" s="15"/>
      <c r="E33" s="21" t="str">
        <f aca="false">IF(D33="","",D33*$K$4)</f>
        <v/>
      </c>
      <c r="F33" s="15"/>
      <c r="G33" s="21" t="str">
        <f aca="false">IF(F33="","",F33*$K$4)</f>
        <v/>
      </c>
      <c r="H33" s="22" t="n">
        <f aca="false">IF(L33="Inactive",0,IF(F33&gt;D33,F33-D33,0))</f>
        <v>0</v>
      </c>
      <c r="I33" s="21" t="n">
        <f aca="false">IF(L33="Inactive",0,IF(G33&gt;E33,G33-E33,0))</f>
        <v>0</v>
      </c>
      <c r="J33" s="22" t="n">
        <f aca="false">IF(L33="Inactive",0,IF(D33&gt;F33,D33-F33,0))</f>
        <v>0</v>
      </c>
      <c r="K33" s="21" t="n">
        <f aca="false">IF(L33="Inactive",0,IF(E33&gt;G33,E33-G33,0))</f>
        <v>0</v>
      </c>
      <c r="L33" s="18" t="s">
        <v>19</v>
      </c>
    </row>
    <row r="34" customFormat="false" ht="19.5" hidden="false" customHeight="true" outlineLevel="0" collapsed="false">
      <c r="A34" s="12" t="s">
        <v>212</v>
      </c>
      <c r="B34" s="13"/>
      <c r="C34" s="14" t="str">
        <f aca="false">IF(B34="","",TEXT(B34,"mmmm"))</f>
        <v/>
      </c>
      <c r="D34" s="15"/>
      <c r="E34" s="16" t="str">
        <f aca="false">IF(D34="","",D34*$K$4)</f>
        <v/>
      </c>
      <c r="F34" s="15"/>
      <c r="G34" s="16" t="str">
        <f aca="false">IF(F34="","",F34*$K$4)</f>
        <v/>
      </c>
      <c r="H34" s="17" t="n">
        <f aca="false">IF(L34="Inactive",0,IF(F34&gt;D34,F34-D34,0))</f>
        <v>0</v>
      </c>
      <c r="I34" s="16" t="n">
        <f aca="false">IF(L34="Inactive",0,IF(G34&gt;E34,G34-E34,0))</f>
        <v>0</v>
      </c>
      <c r="J34" s="17" t="n">
        <f aca="false">IF(L34="Inactive",0,IF(D34&gt;F34,D34-F34,0))</f>
        <v>0</v>
      </c>
      <c r="K34" s="16" t="n">
        <f aca="false">IF(L34="Inactive",0,IF(E34&gt;G34,E34-G34,0))</f>
        <v>0</v>
      </c>
      <c r="L34" s="18" t="s">
        <v>19</v>
      </c>
    </row>
    <row r="35" customFormat="false" ht="19.5" hidden="false" customHeight="true" outlineLevel="0" collapsed="false">
      <c r="A35" s="19" t="s">
        <v>213</v>
      </c>
      <c r="B35" s="13"/>
      <c r="C35" s="20" t="str">
        <f aca="false">IF(B35="","",TEXT(B35,"mmmm"))</f>
        <v/>
      </c>
      <c r="D35" s="15"/>
      <c r="E35" s="21" t="str">
        <f aca="false">IF(D35="","",D35*$K$4)</f>
        <v/>
      </c>
      <c r="F35" s="15"/>
      <c r="G35" s="21" t="str">
        <f aca="false">IF(F35="","",F35*$K$4)</f>
        <v/>
      </c>
      <c r="H35" s="22" t="n">
        <f aca="false">IF(L35="Inactive",0,IF(F35&gt;D35,F35-D35,0))</f>
        <v>0</v>
      </c>
      <c r="I35" s="21" t="n">
        <f aca="false">IF(L35="Inactive",0,IF(G35&gt;E35,G35-E35,0))</f>
        <v>0</v>
      </c>
      <c r="J35" s="22" t="n">
        <f aca="false">IF(L35="Inactive",0,IF(D35&gt;F35,D35-F35,0))</f>
        <v>0</v>
      </c>
      <c r="K35" s="21" t="n">
        <f aca="false">IF(L35="Inactive",0,IF(E35&gt;G35,E35-G35,0))</f>
        <v>0</v>
      </c>
      <c r="L35" s="18" t="s">
        <v>19</v>
      </c>
    </row>
    <row r="36" customFormat="false" ht="19.5" hidden="false" customHeight="true" outlineLevel="0" collapsed="false">
      <c r="A36" s="12" t="s">
        <v>214</v>
      </c>
      <c r="B36" s="13"/>
      <c r="C36" s="14" t="str">
        <f aca="false">IF(B36="","",TEXT(B36,"mmmm"))</f>
        <v/>
      </c>
      <c r="D36" s="15"/>
      <c r="E36" s="16" t="str">
        <f aca="false">IF(D36="","",D36*$K$4)</f>
        <v/>
      </c>
      <c r="F36" s="15"/>
      <c r="G36" s="16" t="str">
        <f aca="false">IF(F36="","",F36*$K$4)</f>
        <v/>
      </c>
      <c r="H36" s="17" t="n">
        <f aca="false">IF(L36="Inactive",0,IF(F36&gt;D36,F36-D36,0))</f>
        <v>0</v>
      </c>
      <c r="I36" s="16" t="n">
        <f aca="false">IF(L36="Inactive",0,IF(G36&gt;E36,G36-E36,0))</f>
        <v>0</v>
      </c>
      <c r="J36" s="17" t="n">
        <f aca="false">IF(L36="Inactive",0,IF(D36&gt;F36,D36-F36,0))</f>
        <v>0</v>
      </c>
      <c r="K36" s="16" t="n">
        <f aca="false">IF(L36="Inactive",0,IF(E36&gt;G36,E36-G36,0))</f>
        <v>0</v>
      </c>
      <c r="L36" s="18" t="s">
        <v>19</v>
      </c>
    </row>
    <row r="37" customFormat="false" ht="19.5" hidden="false" customHeight="true" outlineLevel="0" collapsed="false">
      <c r="A37" s="19" t="s">
        <v>215</v>
      </c>
      <c r="B37" s="13"/>
      <c r="C37" s="20" t="str">
        <f aca="false">IF(B37="","",TEXT(B37,"mmmm"))</f>
        <v/>
      </c>
      <c r="D37" s="15"/>
      <c r="E37" s="21" t="str">
        <f aca="false">IF(D37="","",D37*$K$4)</f>
        <v/>
      </c>
      <c r="F37" s="15"/>
      <c r="G37" s="21" t="str">
        <f aca="false">IF(F37="","",F37*$K$4)</f>
        <v/>
      </c>
      <c r="H37" s="22" t="n">
        <f aca="false">IF(L37="Inactive",0,IF(F37&gt;D37,F37-D37,0))</f>
        <v>0</v>
      </c>
      <c r="I37" s="21" t="n">
        <f aca="false">IF(L37="Inactive",0,IF(G37&gt;E37,G37-E37,0))</f>
        <v>0</v>
      </c>
      <c r="J37" s="22" t="n">
        <f aca="false">IF(L37="Inactive",0,IF(D37&gt;F37,D37-F37,0))</f>
        <v>0</v>
      </c>
      <c r="K37" s="21" t="n">
        <f aca="false">IF(L37="Inactive",0,IF(E37&gt;G37,E37-G37,0))</f>
        <v>0</v>
      </c>
      <c r="L37" s="18" t="s">
        <v>19</v>
      </c>
    </row>
    <row r="38" customFormat="false" ht="19.5" hidden="false" customHeight="true" outlineLevel="0" collapsed="false">
      <c r="A38" s="12" t="s">
        <v>216</v>
      </c>
      <c r="B38" s="13"/>
      <c r="C38" s="14" t="str">
        <f aca="false">IF(B38="","",TEXT(B38,"mmmm"))</f>
        <v/>
      </c>
      <c r="D38" s="15"/>
      <c r="E38" s="16" t="str">
        <f aca="false">IF(D38="","",D38*$K$4)</f>
        <v/>
      </c>
      <c r="F38" s="15"/>
      <c r="G38" s="16" t="str">
        <f aca="false">IF(F38="","",F38*$K$4)</f>
        <v/>
      </c>
      <c r="H38" s="17" t="n">
        <f aca="false">IF(L38="Inactive",0,IF(F38&gt;D38,F38-D38,0))</f>
        <v>0</v>
      </c>
      <c r="I38" s="16" t="n">
        <f aca="false">IF(L38="Inactive",0,IF(G38&gt;E38,G38-E38,0))</f>
        <v>0</v>
      </c>
      <c r="J38" s="17" t="n">
        <f aca="false">IF(L38="Inactive",0,IF(D38&gt;F38,D38-F38,0))</f>
        <v>0</v>
      </c>
      <c r="K38" s="16" t="n">
        <f aca="false">IF(L38="Inactive",0,IF(E38&gt;G38,E38-G38,0))</f>
        <v>0</v>
      </c>
      <c r="L38" s="18" t="s">
        <v>19</v>
      </c>
    </row>
    <row r="39" customFormat="false" ht="19.5" hidden="false" customHeight="true" outlineLevel="0" collapsed="false">
      <c r="A39" s="19" t="s">
        <v>217</v>
      </c>
      <c r="B39" s="13"/>
      <c r="C39" s="20" t="str">
        <f aca="false">IF(B39="","",TEXT(B39,"mmmm"))</f>
        <v/>
      </c>
      <c r="D39" s="15"/>
      <c r="E39" s="21" t="str">
        <f aca="false">IF(D39="","",D39*$K$4)</f>
        <v/>
      </c>
      <c r="F39" s="15"/>
      <c r="G39" s="21" t="str">
        <f aca="false">IF(F39="","",F39*$K$4)</f>
        <v/>
      </c>
      <c r="H39" s="22" t="n">
        <f aca="false">IF(L39="Inactive",0,IF(F39&gt;D39,F39-D39,0))</f>
        <v>0</v>
      </c>
      <c r="I39" s="21" t="n">
        <f aca="false">IF(L39="Inactive",0,IF(G39&gt;E39,G39-E39,0))</f>
        <v>0</v>
      </c>
      <c r="J39" s="22" t="n">
        <f aca="false">IF(L39="Inactive",0,IF(D39&gt;F39,D39-F39,0))</f>
        <v>0</v>
      </c>
      <c r="K39" s="21" t="n">
        <f aca="false">IF(L39="Inactive",0,IF(E39&gt;G39,E39-G39,0))</f>
        <v>0</v>
      </c>
      <c r="L39" s="18" t="s">
        <v>19</v>
      </c>
    </row>
    <row r="40" customFormat="false" ht="19.5" hidden="false" customHeight="true" outlineLevel="0" collapsed="false">
      <c r="A40" s="12" t="s">
        <v>218</v>
      </c>
      <c r="B40" s="13"/>
      <c r="C40" s="14" t="str">
        <f aca="false">IF(B40="","",TEXT(B40,"mmmm"))</f>
        <v/>
      </c>
      <c r="D40" s="15"/>
      <c r="E40" s="16" t="str">
        <f aca="false">IF(D40="","",D40*$K$4)</f>
        <v/>
      </c>
      <c r="F40" s="15"/>
      <c r="G40" s="16" t="str">
        <f aca="false">IF(F40="","",F40*$K$4)</f>
        <v/>
      </c>
      <c r="H40" s="17" t="n">
        <f aca="false">IF(L40="Inactive",0,IF(F40&gt;D40,F40-D40,0))</f>
        <v>0</v>
      </c>
      <c r="I40" s="16" t="n">
        <f aca="false">IF(L40="Inactive",0,IF(G40&gt;E40,G40-E40,0))</f>
        <v>0</v>
      </c>
      <c r="J40" s="17" t="n">
        <f aca="false">IF(L40="Inactive",0,IF(D40&gt;F40,D40-F40,0))</f>
        <v>0</v>
      </c>
      <c r="K40" s="16" t="n">
        <f aca="false">IF(L40="Inactive",0,IF(E40&gt;G40,E40-G40,0))</f>
        <v>0</v>
      </c>
      <c r="L40" s="18" t="s">
        <v>19</v>
      </c>
    </row>
    <row r="41" customFormat="false" ht="19.5" hidden="false" customHeight="true" outlineLevel="0" collapsed="false">
      <c r="A41" s="19" t="s">
        <v>219</v>
      </c>
      <c r="B41" s="13"/>
      <c r="C41" s="20" t="str">
        <f aca="false">IF(B41="","",TEXT(B41,"mmmm"))</f>
        <v/>
      </c>
      <c r="D41" s="15"/>
      <c r="E41" s="21" t="str">
        <f aca="false">IF(D41="","",D41*$K$4)</f>
        <v/>
      </c>
      <c r="F41" s="15"/>
      <c r="G41" s="21" t="str">
        <f aca="false">IF(F41="","",F41*$K$4)</f>
        <v/>
      </c>
      <c r="H41" s="22" t="n">
        <f aca="false">IF(L41="Inactive",0,IF(F41&gt;D41,F41-D41,0))</f>
        <v>0</v>
      </c>
      <c r="I41" s="21" t="n">
        <f aca="false">IF(L41="Inactive",0,IF(G41&gt;E41,G41-E41,0))</f>
        <v>0</v>
      </c>
      <c r="J41" s="22" t="n">
        <f aca="false">IF(L41="Inactive",0,IF(D41&gt;F41,D41-F41,0))</f>
        <v>0</v>
      </c>
      <c r="K41" s="21" t="n">
        <f aca="false">IF(L41="Inactive",0,IF(E41&gt;G41,E41-G41,0))</f>
        <v>0</v>
      </c>
      <c r="L41" s="18" t="s">
        <v>19</v>
      </c>
    </row>
    <row r="42" customFormat="false" ht="19.5" hidden="false" customHeight="true" outlineLevel="0" collapsed="false">
      <c r="A42" s="12" t="s">
        <v>220</v>
      </c>
      <c r="B42" s="13"/>
      <c r="C42" s="14" t="str">
        <f aca="false">IF(B42="","",TEXT(B42,"mmmm"))</f>
        <v/>
      </c>
      <c r="D42" s="15"/>
      <c r="E42" s="16" t="str">
        <f aca="false">IF(D42="","",D42*$K$4)</f>
        <v/>
      </c>
      <c r="F42" s="15"/>
      <c r="G42" s="16" t="str">
        <f aca="false">IF(F42="","",F42*$K$4)</f>
        <v/>
      </c>
      <c r="H42" s="17" t="n">
        <f aca="false">IF(L42="Inactive",0,IF(F42&gt;D42,F42-D42,0))</f>
        <v>0</v>
      </c>
      <c r="I42" s="16" t="n">
        <f aca="false">IF(L42="Inactive",0,IF(G42&gt;E42,G42-E42,0))</f>
        <v>0</v>
      </c>
      <c r="J42" s="17" t="n">
        <f aca="false">IF(L42="Inactive",0,IF(D42&gt;F42,D42-F42,0))</f>
        <v>0</v>
      </c>
      <c r="K42" s="16" t="n">
        <f aca="false">IF(L42="Inactive",0,IF(E42&gt;G42,E42-G42,0))</f>
        <v>0</v>
      </c>
      <c r="L42" s="18" t="s">
        <v>19</v>
      </c>
    </row>
    <row r="43" customFormat="false" ht="19.5" hidden="false" customHeight="true" outlineLevel="0" collapsed="false">
      <c r="A43" s="19" t="s">
        <v>221</v>
      </c>
      <c r="B43" s="13"/>
      <c r="C43" s="20" t="str">
        <f aca="false">IF(B43="","",TEXT(B43,"mmmm"))</f>
        <v/>
      </c>
      <c r="D43" s="15"/>
      <c r="E43" s="21" t="str">
        <f aca="false">IF(D43="","",D43*$K$4)</f>
        <v/>
      </c>
      <c r="F43" s="15"/>
      <c r="G43" s="21" t="str">
        <f aca="false">IF(F43="","",F43*$K$4)</f>
        <v/>
      </c>
      <c r="H43" s="22" t="n">
        <f aca="false">IF(L43="Inactive",0,IF(F43&gt;D43,F43-D43,0))</f>
        <v>0</v>
      </c>
      <c r="I43" s="21" t="n">
        <f aca="false">IF(L43="Inactive",0,IF(G43&gt;E43,G43-E43,0))</f>
        <v>0</v>
      </c>
      <c r="J43" s="22" t="n">
        <f aca="false">IF(L43="Inactive",0,IF(D43&gt;F43,D43-F43,0))</f>
        <v>0</v>
      </c>
      <c r="K43" s="21" t="n">
        <f aca="false">IF(L43="Inactive",0,IF(E43&gt;G43,E43-G43,0))</f>
        <v>0</v>
      </c>
      <c r="L43" s="18" t="s">
        <v>19</v>
      </c>
    </row>
    <row r="44" customFormat="false" ht="19.5" hidden="false" customHeight="true" outlineLevel="0" collapsed="false">
      <c r="A44" s="12" t="s">
        <v>222</v>
      </c>
      <c r="B44" s="13"/>
      <c r="C44" s="14" t="str">
        <f aca="false">IF(B44="","",TEXT(B44,"mmmm"))</f>
        <v/>
      </c>
      <c r="D44" s="15"/>
      <c r="E44" s="16" t="str">
        <f aca="false">IF(D44="","",D44*$K$4)</f>
        <v/>
      </c>
      <c r="F44" s="15"/>
      <c r="G44" s="16" t="str">
        <f aca="false">IF(F44="","",F44*$K$4)</f>
        <v/>
      </c>
      <c r="H44" s="17" t="n">
        <f aca="false">IF(L44="Inactive",0,IF(F44&gt;D44,F44-D44,0))</f>
        <v>0</v>
      </c>
      <c r="I44" s="16" t="n">
        <f aca="false">IF(L44="Inactive",0,IF(G44&gt;E44,G44-E44,0))</f>
        <v>0</v>
      </c>
      <c r="J44" s="17" t="n">
        <f aca="false">IF(L44="Inactive",0,IF(D44&gt;F44,D44-F44,0))</f>
        <v>0</v>
      </c>
      <c r="K44" s="16" t="n">
        <f aca="false">IF(L44="Inactive",0,IF(E44&gt;G44,E44-G44,0))</f>
        <v>0</v>
      </c>
      <c r="L44" s="18" t="s">
        <v>19</v>
      </c>
    </row>
    <row r="45" customFormat="false" ht="19.5" hidden="false" customHeight="true" outlineLevel="0" collapsed="false">
      <c r="A45" s="19" t="s">
        <v>223</v>
      </c>
      <c r="B45" s="13"/>
      <c r="C45" s="20" t="str">
        <f aca="false">IF(B45="","",TEXT(B45,"mmmm"))</f>
        <v/>
      </c>
      <c r="D45" s="15"/>
      <c r="E45" s="21" t="str">
        <f aca="false">IF(D45="","",D45*$K$4)</f>
        <v/>
      </c>
      <c r="F45" s="15"/>
      <c r="G45" s="21" t="str">
        <f aca="false">IF(F45="","",F45*$K$4)</f>
        <v/>
      </c>
      <c r="H45" s="22" t="n">
        <f aca="false">IF(L45="Inactive",0,IF(F45&gt;D45,F45-D45,0))</f>
        <v>0</v>
      </c>
      <c r="I45" s="21" t="n">
        <f aca="false">IF(L45="Inactive",0,IF(G45&gt;E45,G45-E45,0))</f>
        <v>0</v>
      </c>
      <c r="J45" s="22" t="n">
        <f aca="false">IF(L45="Inactive",0,IF(D45&gt;F45,D45-F45,0))</f>
        <v>0</v>
      </c>
      <c r="K45" s="21" t="n">
        <f aca="false">IF(L45="Inactive",0,IF(E45&gt;G45,E45-G45,0))</f>
        <v>0</v>
      </c>
      <c r="L45" s="18" t="s">
        <v>19</v>
      </c>
    </row>
    <row r="46" customFormat="false" ht="19.5" hidden="false" customHeight="true" outlineLevel="0" collapsed="false">
      <c r="A46" s="12" t="s">
        <v>224</v>
      </c>
      <c r="B46" s="13"/>
      <c r="C46" s="14" t="str">
        <f aca="false">IF(B46="","",TEXT(B46,"mmmm"))</f>
        <v/>
      </c>
      <c r="D46" s="15"/>
      <c r="E46" s="16" t="str">
        <f aca="false">IF(D46="","",D46*$K$4)</f>
        <v/>
      </c>
      <c r="F46" s="15"/>
      <c r="G46" s="16" t="str">
        <f aca="false">IF(F46="","",F46*$K$4)</f>
        <v/>
      </c>
      <c r="H46" s="17" t="n">
        <f aca="false">IF(L46="Inactive",0,IF(F46&gt;D46,F46-D46,0))</f>
        <v>0</v>
      </c>
      <c r="I46" s="16" t="n">
        <f aca="false">IF(L46="Inactive",0,IF(G46&gt;E46,G46-E46,0))</f>
        <v>0</v>
      </c>
      <c r="J46" s="17" t="n">
        <f aca="false">IF(L46="Inactive",0,IF(D46&gt;F46,D46-F46,0))</f>
        <v>0</v>
      </c>
      <c r="K46" s="16" t="n">
        <f aca="false">IF(L46="Inactive",0,IF(E46&gt;G46,E46-G46,0))</f>
        <v>0</v>
      </c>
      <c r="L46" s="18" t="s">
        <v>19</v>
      </c>
    </row>
    <row r="47" customFormat="false" ht="19.5" hidden="false" customHeight="true" outlineLevel="0" collapsed="false">
      <c r="A47" s="19" t="s">
        <v>225</v>
      </c>
      <c r="B47" s="13"/>
      <c r="C47" s="20" t="str">
        <f aca="false">IF(B47="","",TEXT(B47,"mmmm"))</f>
        <v/>
      </c>
      <c r="D47" s="15"/>
      <c r="E47" s="21" t="str">
        <f aca="false">IF(D47="","",D47*$K$4)</f>
        <v/>
      </c>
      <c r="F47" s="15"/>
      <c r="G47" s="21" t="str">
        <f aca="false">IF(F47="","",F47*$K$4)</f>
        <v/>
      </c>
      <c r="H47" s="22" t="n">
        <f aca="false">IF(L47="Inactive",0,IF(F47&gt;D47,F47-D47,0))</f>
        <v>0</v>
      </c>
      <c r="I47" s="21" t="n">
        <f aca="false">IF(L47="Inactive",0,IF(G47&gt;E47,G47-E47,0))</f>
        <v>0</v>
      </c>
      <c r="J47" s="22" t="n">
        <f aca="false">IF(L47="Inactive",0,IF(D47&gt;F47,D47-F47,0))</f>
        <v>0</v>
      </c>
      <c r="K47" s="21" t="n">
        <f aca="false">IF(L47="Inactive",0,IF(E47&gt;G47,E47-G47,0))</f>
        <v>0</v>
      </c>
      <c r="L47" s="18" t="s">
        <v>19</v>
      </c>
    </row>
    <row r="48" customFormat="false" ht="19.5" hidden="false" customHeight="true" outlineLevel="0" collapsed="false">
      <c r="A48" s="12" t="s">
        <v>226</v>
      </c>
      <c r="B48" s="13"/>
      <c r="C48" s="14" t="str">
        <f aca="false">IF(B48="","",TEXT(B48,"mmmm"))</f>
        <v/>
      </c>
      <c r="D48" s="15"/>
      <c r="E48" s="16" t="str">
        <f aca="false">IF(D48="","",D48*$K$4)</f>
        <v/>
      </c>
      <c r="F48" s="15"/>
      <c r="G48" s="16" t="str">
        <f aca="false">IF(F48="","",F48*$K$4)</f>
        <v/>
      </c>
      <c r="H48" s="17" t="n">
        <f aca="false">IF(L48="Inactive",0,IF(F48&gt;D48,F48-D48,0))</f>
        <v>0</v>
      </c>
      <c r="I48" s="16" t="n">
        <f aca="false">IF(L48="Inactive",0,IF(G48&gt;E48,G48-E48,0))</f>
        <v>0</v>
      </c>
      <c r="J48" s="17" t="n">
        <f aca="false">IF(L48="Inactive",0,IF(D48&gt;F48,D48-F48,0))</f>
        <v>0</v>
      </c>
      <c r="K48" s="16" t="n">
        <f aca="false">IF(L48="Inactive",0,IF(E48&gt;G48,E48-G48,0))</f>
        <v>0</v>
      </c>
      <c r="L48" s="18" t="s">
        <v>19</v>
      </c>
    </row>
    <row r="49" customFormat="false" ht="19.5" hidden="false" customHeight="true" outlineLevel="0" collapsed="false">
      <c r="A49" s="19" t="s">
        <v>227</v>
      </c>
      <c r="B49" s="13"/>
      <c r="C49" s="20" t="str">
        <f aca="false">IF(B49="","",TEXT(B49,"mmmm"))</f>
        <v/>
      </c>
      <c r="D49" s="15"/>
      <c r="E49" s="21" t="str">
        <f aca="false">IF(D49="","",D49*$K$4)</f>
        <v/>
      </c>
      <c r="F49" s="15"/>
      <c r="G49" s="21" t="str">
        <f aca="false">IF(F49="","",F49*$K$4)</f>
        <v/>
      </c>
      <c r="H49" s="22" t="n">
        <f aca="false">IF(L49="Inactive",0,IF(F49&gt;D49,F49-D49,0))</f>
        <v>0</v>
      </c>
      <c r="I49" s="21" t="n">
        <f aca="false">IF(L49="Inactive",0,IF(G49&gt;E49,G49-E49,0))</f>
        <v>0</v>
      </c>
      <c r="J49" s="22" t="n">
        <f aca="false">IF(L49="Inactive",0,IF(D49&gt;F49,D49-F49,0))</f>
        <v>0</v>
      </c>
      <c r="K49" s="21" t="n">
        <f aca="false">IF(L49="Inactive",0,IF(E49&gt;G49,E49-G49,0))</f>
        <v>0</v>
      </c>
      <c r="L49" s="18" t="s">
        <v>19</v>
      </c>
    </row>
    <row r="50" customFormat="false" ht="19.5" hidden="false" customHeight="true" outlineLevel="0" collapsed="false">
      <c r="A50" s="12" t="s">
        <v>228</v>
      </c>
      <c r="B50" s="13"/>
      <c r="C50" s="14" t="str">
        <f aca="false">IF(B50="","",TEXT(B50,"mmmm"))</f>
        <v/>
      </c>
      <c r="D50" s="15"/>
      <c r="E50" s="16" t="str">
        <f aca="false">IF(D50="","",D50*$K$4)</f>
        <v/>
      </c>
      <c r="F50" s="15"/>
      <c r="G50" s="16" t="str">
        <f aca="false">IF(F50="","",F50*$K$4)</f>
        <v/>
      </c>
      <c r="H50" s="17" t="n">
        <f aca="false">IF(L50="Inactive",0,IF(F50&gt;D50,F50-D50,0))</f>
        <v>0</v>
      </c>
      <c r="I50" s="16" t="n">
        <f aca="false">IF(L50="Inactive",0,IF(G50&gt;E50,G50-E50,0))</f>
        <v>0</v>
      </c>
      <c r="J50" s="17" t="n">
        <f aca="false">IF(L50="Inactive",0,IF(D50&gt;F50,D50-F50,0))</f>
        <v>0</v>
      </c>
      <c r="K50" s="16" t="n">
        <f aca="false">IF(L50="Inactive",0,IF(E50&gt;G50,E50-G50,0))</f>
        <v>0</v>
      </c>
      <c r="L50" s="18" t="s">
        <v>19</v>
      </c>
    </row>
    <row r="51" customFormat="false" ht="19.5" hidden="false" customHeight="true" outlineLevel="0" collapsed="false">
      <c r="A51" s="19" t="s">
        <v>229</v>
      </c>
      <c r="B51" s="13"/>
      <c r="C51" s="20" t="str">
        <f aca="false">IF(B51="","",TEXT(B51,"mmmm"))</f>
        <v/>
      </c>
      <c r="D51" s="15"/>
      <c r="E51" s="21" t="str">
        <f aca="false">IF(D51="","",D51*$K$4)</f>
        <v/>
      </c>
      <c r="F51" s="15"/>
      <c r="G51" s="21" t="str">
        <f aca="false">IF(F51="","",F51*$K$4)</f>
        <v/>
      </c>
      <c r="H51" s="22" t="n">
        <f aca="false">IF(L51="Inactive",0,IF(F51&gt;D51,F51-D51,0))</f>
        <v>0</v>
      </c>
      <c r="I51" s="21" t="n">
        <f aca="false">IF(L51="Inactive",0,IF(G51&gt;E51,G51-E51,0))</f>
        <v>0</v>
      </c>
      <c r="J51" s="22" t="n">
        <f aca="false">IF(L51="Inactive",0,IF(D51&gt;F51,D51-F51,0))</f>
        <v>0</v>
      </c>
      <c r="K51" s="21" t="n">
        <f aca="false">IF(L51="Inactive",0,IF(E51&gt;G51,E51-G51,0))</f>
        <v>0</v>
      </c>
      <c r="L51" s="18" t="s">
        <v>19</v>
      </c>
    </row>
    <row r="52" customFormat="false" ht="19.5" hidden="false" customHeight="true" outlineLevel="0" collapsed="false">
      <c r="A52" s="12" t="s">
        <v>230</v>
      </c>
      <c r="B52" s="13"/>
      <c r="C52" s="14" t="str">
        <f aca="false">IF(B52="","",TEXT(B52,"mmmm"))</f>
        <v/>
      </c>
      <c r="D52" s="15"/>
      <c r="E52" s="16" t="str">
        <f aca="false">IF(D52="","",D52*$K$4)</f>
        <v/>
      </c>
      <c r="F52" s="15"/>
      <c r="G52" s="16" t="str">
        <f aca="false">IF(F52="","",F52*$K$4)</f>
        <v/>
      </c>
      <c r="H52" s="17" t="n">
        <f aca="false">IF(L52="Inactive",0,IF(F52&gt;D52,F52-D52,0))</f>
        <v>0</v>
      </c>
      <c r="I52" s="16" t="n">
        <f aca="false">IF(L52="Inactive",0,IF(G52&gt;E52,G52-E52,0))</f>
        <v>0</v>
      </c>
      <c r="J52" s="17" t="n">
        <f aca="false">IF(L52="Inactive",0,IF(D52&gt;F52,D52-F52,0))</f>
        <v>0</v>
      </c>
      <c r="K52" s="16" t="n">
        <f aca="false">IF(L52="Inactive",0,IF(E52&gt;G52,E52-G52,0))</f>
        <v>0</v>
      </c>
      <c r="L52" s="18" t="s">
        <v>19</v>
      </c>
    </row>
    <row r="53" customFormat="false" ht="19.5" hidden="false" customHeight="true" outlineLevel="0" collapsed="false">
      <c r="A53" s="19" t="s">
        <v>231</v>
      </c>
      <c r="B53" s="13"/>
      <c r="C53" s="20" t="str">
        <f aca="false">IF(B53="","",TEXT(B53,"mmmm"))</f>
        <v/>
      </c>
      <c r="D53" s="15"/>
      <c r="E53" s="21" t="str">
        <f aca="false">IF(D53="","",D53*$K$4)</f>
        <v/>
      </c>
      <c r="F53" s="15"/>
      <c r="G53" s="21" t="str">
        <f aca="false">IF(F53="","",F53*$K$4)</f>
        <v/>
      </c>
      <c r="H53" s="22" t="n">
        <f aca="false">IF(L53="Inactive",0,IF(F53&gt;D53,F53-D53,0))</f>
        <v>0</v>
      </c>
      <c r="I53" s="21" t="n">
        <f aca="false">IF(L53="Inactive",0,IF(G53&gt;E53,G53-E53,0))</f>
        <v>0</v>
      </c>
      <c r="J53" s="22" t="n">
        <f aca="false">IF(L53="Inactive",0,IF(D53&gt;F53,D53-F53,0))</f>
        <v>0</v>
      </c>
      <c r="K53" s="21" t="n">
        <f aca="false">IF(L53="Inactive",0,IF(E53&gt;G53,E53-G53,0))</f>
        <v>0</v>
      </c>
      <c r="L53" s="18" t="s">
        <v>19</v>
      </c>
    </row>
    <row r="54" customFormat="false" ht="19.5" hidden="false" customHeight="true" outlineLevel="0" collapsed="false">
      <c r="A54" s="12" t="s">
        <v>232</v>
      </c>
      <c r="B54" s="13"/>
      <c r="C54" s="14" t="str">
        <f aca="false">IF(B54="","",TEXT(B54,"mmmm"))</f>
        <v/>
      </c>
      <c r="D54" s="15"/>
      <c r="E54" s="16" t="str">
        <f aca="false">IF(D54="","",D54*$K$4)</f>
        <v/>
      </c>
      <c r="F54" s="15"/>
      <c r="G54" s="16" t="str">
        <f aca="false">IF(F54="","",F54*$K$4)</f>
        <v/>
      </c>
      <c r="H54" s="17" t="n">
        <f aca="false">IF(L54="Inactive",0,IF(F54&gt;D54,F54-D54,0))</f>
        <v>0</v>
      </c>
      <c r="I54" s="16" t="n">
        <f aca="false">IF(L54="Inactive",0,IF(G54&gt;E54,G54-E54,0))</f>
        <v>0</v>
      </c>
      <c r="J54" s="17" t="n">
        <f aca="false">IF(L54="Inactive",0,IF(D54&gt;F54,D54-F54,0))</f>
        <v>0</v>
      </c>
      <c r="K54" s="16" t="n">
        <f aca="false">IF(L54="Inactive",0,IF(E54&gt;G54,E54-G54,0))</f>
        <v>0</v>
      </c>
      <c r="L54" s="18" t="s">
        <v>19</v>
      </c>
    </row>
    <row r="55" customFormat="false" ht="19.5" hidden="false" customHeight="true" outlineLevel="0" collapsed="false">
      <c r="A55" s="19" t="s">
        <v>233</v>
      </c>
      <c r="B55" s="13"/>
      <c r="C55" s="20" t="str">
        <f aca="false">IF(B55="","",TEXT(B55,"mmmm"))</f>
        <v/>
      </c>
      <c r="D55" s="15"/>
      <c r="E55" s="21" t="str">
        <f aca="false">IF(D55="","",D55*$K$4)</f>
        <v/>
      </c>
      <c r="F55" s="15"/>
      <c r="G55" s="21" t="str">
        <f aca="false">IF(F55="","",F55*$K$4)</f>
        <v/>
      </c>
      <c r="H55" s="22" t="n">
        <f aca="false">IF(L55="Inactive",0,IF(F55&gt;D55,F55-D55,0))</f>
        <v>0</v>
      </c>
      <c r="I55" s="21" t="n">
        <f aca="false">IF(L55="Inactive",0,IF(G55&gt;E55,G55-E55,0))</f>
        <v>0</v>
      </c>
      <c r="J55" s="22" t="n">
        <f aca="false">IF(L55="Inactive",0,IF(D55&gt;F55,D55-F55,0))</f>
        <v>0</v>
      </c>
      <c r="K55" s="21" t="n">
        <f aca="false">IF(L55="Inactive",0,IF(E55&gt;G55,E55-G55,0))</f>
        <v>0</v>
      </c>
      <c r="L55" s="18" t="s">
        <v>19</v>
      </c>
    </row>
    <row r="56" customFormat="false" ht="19.5" hidden="false" customHeight="true" outlineLevel="0" collapsed="false">
      <c r="A56" s="12" t="s">
        <v>234</v>
      </c>
      <c r="B56" s="13"/>
      <c r="C56" s="14" t="str">
        <f aca="false">IF(B56="","",TEXT(B56,"mmmm"))</f>
        <v/>
      </c>
      <c r="D56" s="15"/>
      <c r="E56" s="16" t="str">
        <f aca="false">IF(D56="","",D56*$K$4)</f>
        <v/>
      </c>
      <c r="F56" s="15"/>
      <c r="G56" s="16" t="str">
        <f aca="false">IF(F56="","",F56*$K$4)</f>
        <v/>
      </c>
      <c r="H56" s="17" t="n">
        <f aca="false">IF(L56="Inactive",0,IF(F56&gt;D56,F56-D56,0))</f>
        <v>0</v>
      </c>
      <c r="I56" s="16" t="n">
        <f aca="false">IF(L56="Inactive",0,IF(G56&gt;E56,G56-E56,0))</f>
        <v>0</v>
      </c>
      <c r="J56" s="17" t="n">
        <f aca="false">IF(L56="Inactive",0,IF(D56&gt;F56,D56-F56,0))</f>
        <v>0</v>
      </c>
      <c r="K56" s="16" t="n">
        <f aca="false">IF(L56="Inactive",0,IF(E56&gt;G56,E56-G56,0))</f>
        <v>0</v>
      </c>
      <c r="L56" s="18" t="s">
        <v>19</v>
      </c>
    </row>
    <row r="57" customFormat="false" ht="19.5" hidden="false" customHeight="true" outlineLevel="0" collapsed="false">
      <c r="A57" s="19" t="s">
        <v>235</v>
      </c>
      <c r="B57" s="13"/>
      <c r="C57" s="20" t="str">
        <f aca="false">IF(B57="","",TEXT(B57,"mmmm"))</f>
        <v/>
      </c>
      <c r="D57" s="15"/>
      <c r="E57" s="21" t="str">
        <f aca="false">IF(D57="","",D57*$K$4)</f>
        <v/>
      </c>
      <c r="F57" s="15"/>
      <c r="G57" s="21" t="str">
        <f aca="false">IF(F57="","",F57*$K$4)</f>
        <v/>
      </c>
      <c r="H57" s="22" t="n">
        <f aca="false">IF(L57="Inactive",0,IF(F57&gt;D57,F57-D57,0))</f>
        <v>0</v>
      </c>
      <c r="I57" s="21" t="n">
        <f aca="false">IF(L57="Inactive",0,IF(G57&gt;E57,G57-E57,0))</f>
        <v>0</v>
      </c>
      <c r="J57" s="22" t="n">
        <f aca="false">IF(L57="Inactive",0,IF(D57&gt;F57,D57-F57,0))</f>
        <v>0</v>
      </c>
      <c r="K57" s="21" t="n">
        <f aca="false">IF(L57="Inactive",0,IF(E57&gt;G57,E57-G57,0))</f>
        <v>0</v>
      </c>
      <c r="L57" s="18" t="s">
        <v>19</v>
      </c>
    </row>
    <row r="58" customFormat="false" ht="24" hidden="false" customHeight="true" outlineLevel="0" collapsed="false">
      <c r="A58" s="23" t="s">
        <v>69</v>
      </c>
      <c r="B58" s="23"/>
      <c r="C58" s="23"/>
      <c r="D58" s="24" t="n">
        <f aca="false">SUM(D8:D57)</f>
        <v>0</v>
      </c>
      <c r="E58" s="24" t="n">
        <f aca="false">SUM(E8:E57)</f>
        <v>0</v>
      </c>
      <c r="F58" s="24" t="n">
        <f aca="false">SUM(F8:F57)</f>
        <v>0</v>
      </c>
      <c r="G58" s="24" t="n">
        <f aca="false">SUM(G8:G57)</f>
        <v>0</v>
      </c>
      <c r="H58" s="24" t="n">
        <f aca="false">SUM(H8:H57)</f>
        <v>0</v>
      </c>
      <c r="I58" s="24" t="n">
        <f aca="false">SUM(I8:I57)</f>
        <v>0</v>
      </c>
      <c r="J58" s="24" t="n">
        <f aca="false">SUM(J8:J57)</f>
        <v>0</v>
      </c>
      <c r="K58" s="24" t="n">
        <f aca="false">SUM(K8:K57)</f>
        <v>0</v>
      </c>
      <c r="L58" s="25"/>
    </row>
    <row r="59" customFormat="false" ht="12" hidden="false" customHeight="true" outlineLevel="0" collapsed="false"/>
    <row r="60" customFormat="false" ht="13.5" hidden="false" customHeight="true" outlineLevel="0" collapsed="false">
      <c r="A60" s="26" t="s">
        <v>70</v>
      </c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</row>
    <row r="61" customFormat="false" ht="18" hidden="false" customHeight="true" outlineLevel="0" collapsed="false">
      <c r="A61" s="27" t="s">
        <v>71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</row>
    <row r="62" customFormat="false" ht="27.75" hidden="false" customHeight="true" outlineLevel="0" collapsed="false">
      <c r="A62" s="28" t="s">
        <v>72</v>
      </c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</row>
    <row r="63" customFormat="false" ht="18" hidden="false" customHeight="true" outlineLevel="0" collapsed="false">
      <c r="A63" s="27" t="s">
        <v>73</v>
      </c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</row>
    <row r="64" customFormat="false" ht="27.75" hidden="false" customHeight="true" outlineLevel="0" collapsed="false">
      <c r="A64" s="28" t="s">
        <v>74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</row>
    <row r="65" customFormat="false" ht="18" hidden="false" customHeight="true" outlineLevel="0" collapsed="false">
      <c r="A65" s="27" t="s">
        <v>75</v>
      </c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</row>
    <row r="66" customFormat="false" ht="27.75" hidden="false" customHeight="true" outlineLevel="0" collapsed="false">
      <c r="A66" s="28" t="s">
        <v>76</v>
      </c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</row>
    <row r="67" customFormat="false" ht="18" hidden="false" customHeight="true" outlineLevel="0" collapsed="false">
      <c r="A67" s="27" t="s">
        <v>77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</row>
    <row r="68" customFormat="false" ht="27.75" hidden="false" customHeight="true" outlineLevel="0" collapsed="false">
      <c r="A68" s="28" t="s">
        <v>78</v>
      </c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</row>
    <row r="69" customFormat="false" ht="18" hidden="false" customHeight="true" outlineLevel="0" collapsed="false">
      <c r="A69" s="27" t="s">
        <v>79</v>
      </c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</row>
    <row r="70" customFormat="false" ht="27.75" hidden="false" customHeight="true" outlineLevel="0" collapsed="false">
      <c r="A70" s="28" t="s">
        <v>80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</row>
    <row r="71" customFormat="false" ht="18" hidden="false" customHeight="true" outlineLevel="0" collapsed="false">
      <c r="A71" s="27" t="s">
        <v>81</v>
      </c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</row>
    <row r="72" customFormat="false" ht="27.75" hidden="false" customHeight="true" outlineLevel="0" collapsed="false">
      <c r="A72" s="28" t="s">
        <v>82</v>
      </c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</row>
  </sheetData>
  <mergeCells count="18">
    <mergeCell ref="A1:L3"/>
    <mergeCell ref="A4:I4"/>
    <mergeCell ref="A5:B5"/>
    <mergeCell ref="C5:D5"/>
    <mergeCell ref="A58:C58"/>
    <mergeCell ref="A60:L60"/>
    <mergeCell ref="A61:L61"/>
    <mergeCell ref="A62:L62"/>
    <mergeCell ref="A63:L63"/>
    <mergeCell ref="A64:L64"/>
    <mergeCell ref="A65:L65"/>
    <mergeCell ref="A66:L66"/>
    <mergeCell ref="A67:L67"/>
    <mergeCell ref="A68:L68"/>
    <mergeCell ref="A69:L69"/>
    <mergeCell ref="A70:L70"/>
    <mergeCell ref="A71:L71"/>
    <mergeCell ref="A72:L72"/>
  </mergeCells>
  <conditionalFormatting sqref="L8:L57">
    <cfRule type="cellIs" priority="2" operator="equal" aboveAverage="0" equalAverage="0" bottom="0" percent="0" rank="0" text="" dxfId="0">
      <formula>"Active"</formula>
    </cfRule>
    <cfRule type="cellIs" priority="3" operator="equal" aboveAverage="0" equalAverage="0" bottom="0" percent="0" rank="0" text="" dxfId="1">
      <formula>"Inactive"</formula>
    </cfRule>
  </conditionalFormatting>
  <dataValidations count="2">
    <dataValidation allowBlank="true" error="Invalid Product ID" errorStyle="stop" errorTitle="Selection Error" operator="between" prompt="Choose a Product ID" promptTitle="Quick-View Lookup" showDropDown="false" showErrorMessage="false" showInputMessage="false" sqref="C5" type="list">
      <formula1>"BL1,BL2,BL3,BL4,BL5,BL6,BL7,BL8,BL9,BL10,BL11,BL12,BL13,BL14,BL15,BL16,BL17,BL18,BL19,BL20,BL21,BL22,BL23,BL24,BL25,BL26,BL27,BL28,BL29,BL30,BL31,BL32,BL33,BL34,BL35,BL36,BL37,BL38,BL39,BL40,BL41,BL42,BL43,BL44,BL45,BL46,BL47,BL48,BL49,BL50"</formula1>
      <formula2>0</formula2>
    </dataValidation>
    <dataValidation allowBlank="false" error="Please choose Active or Inactive" errorStyle="stop" errorTitle="Invalid Entry" operator="between" prompt="Select stock status" promptTitle="Stock Status" showDropDown="false" showErrorMessage="false" showInputMessage="false" sqref="L8:L57" type="list">
      <formula1>"Active,Inactive"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6"/>
    <col collapsed="false" customWidth="true" hidden="false" outlineLevel="0" max="3" min="3" style="1" width="18"/>
    <col collapsed="false" customWidth="true" hidden="false" outlineLevel="0" max="5" min="4" style="1" width="20"/>
    <col collapsed="false" customWidth="true" hidden="false" outlineLevel="0" max="7" min="6" style="1" width="18"/>
    <col collapsed="false" customWidth="true" hidden="false" outlineLevel="0" max="9" min="8" style="1" width="16"/>
    <col collapsed="false" customWidth="true" hidden="false" outlineLevel="0" max="12" min="10" style="1" width="14"/>
  </cols>
  <sheetData>
    <row r="1" customFormat="false" ht="9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30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9.7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27.75" hidden="false" customHeight="true" outlineLevel="0" collapsed="false">
      <c r="A4" s="3" t="s">
        <v>236</v>
      </c>
      <c r="B4" s="3"/>
      <c r="C4" s="3"/>
      <c r="D4" s="3"/>
      <c r="E4" s="3"/>
      <c r="F4" s="3"/>
      <c r="G4" s="3"/>
      <c r="H4" s="3"/>
      <c r="I4" s="3"/>
      <c r="J4" s="4" t="s">
        <v>2</v>
      </c>
      <c r="K4" s="5" t="n">
        <v>0.37</v>
      </c>
      <c r="L4" s="6" t="s">
        <v>3</v>
      </c>
    </row>
    <row r="5" customFormat="false" ht="31.5" hidden="false" customHeight="true" outlineLevel="0" collapsed="false">
      <c r="A5" s="7" t="s">
        <v>4</v>
      </c>
      <c r="B5" s="7"/>
      <c r="C5" s="8" t="s">
        <v>5</v>
      </c>
      <c r="D5" s="8"/>
      <c r="E5" s="9" t="str">
        <f aca="false">IFERROR(VLOOKUP(C5,A8:L57,4,0),"")</f>
        <v/>
      </c>
      <c r="F5" s="9" t="str">
        <f aca="false">IFERROR(VLOOKUP(C5,A8:L57,5,0),"")</f>
        <v/>
      </c>
      <c r="G5" s="9" t="str">
        <f aca="false">IFERROR(VLOOKUP(C5,A8:L57,6,0),"")</f>
        <v/>
      </c>
      <c r="H5" s="9" t="str">
        <f aca="false">IFERROR(VLOOKUP(C5,A8:L57,7,0),"")</f>
        <v/>
      </c>
      <c r="I5" s="9" t="str">
        <f aca="false">IFERROR(VLOOKUP(C5,A8:L57,8,0),"")</f>
        <v/>
      </c>
      <c r="J5" s="9" t="str">
        <f aca="false">IFERROR(VLOOKUP(C5,A8:L57,9,0),"")</f>
        <v/>
      </c>
      <c r="K5" s="9" t="str">
        <f aca="false">IFERROR(VLOOKUP(C5,A8:L57,10,0),"")</f>
        <v/>
      </c>
      <c r="L5" s="9" t="str">
        <f aca="false">IFERROR(VLOOKUP(C5,A8:L57,11,0),"")</f>
        <v/>
      </c>
    </row>
    <row r="6" customFormat="false" ht="9.75" hidden="false" customHeight="true" outlineLevel="0" collapsed="false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customFormat="false" ht="36" hidden="false" customHeight="true" outlineLevel="0" collapsed="false">
      <c r="A7" s="11" t="s">
        <v>6</v>
      </c>
      <c r="B7" s="11" t="s">
        <v>7</v>
      </c>
      <c r="C7" s="11" t="s">
        <v>8</v>
      </c>
      <c r="D7" s="11" t="s">
        <v>9</v>
      </c>
      <c r="E7" s="11" t="s">
        <v>10</v>
      </c>
      <c r="F7" s="11" t="s">
        <v>11</v>
      </c>
      <c r="G7" s="11" t="s">
        <v>12</v>
      </c>
      <c r="H7" s="11" t="s">
        <v>13</v>
      </c>
      <c r="I7" s="11" t="s">
        <v>14</v>
      </c>
      <c r="J7" s="11" t="s">
        <v>15</v>
      </c>
      <c r="K7" s="11" t="s">
        <v>16</v>
      </c>
      <c r="L7" s="11" t="s">
        <v>17</v>
      </c>
    </row>
    <row r="8" customFormat="false" ht="19.5" hidden="false" customHeight="true" outlineLevel="0" collapsed="false">
      <c r="A8" s="12" t="s">
        <v>237</v>
      </c>
      <c r="B8" s="13"/>
      <c r="C8" s="14" t="str">
        <f aca="false">IF(B8="","",TEXT(B8,"mmmm"))</f>
        <v/>
      </c>
      <c r="D8" s="15"/>
      <c r="E8" s="16" t="str">
        <f aca="false">IF(D8="","",D8*$K$4)</f>
        <v/>
      </c>
      <c r="F8" s="15"/>
      <c r="G8" s="16" t="str">
        <f aca="false">IF(F8="","",F8*$K$4)</f>
        <v/>
      </c>
      <c r="H8" s="17" t="n">
        <f aca="false">IF(L8="Inactive",0,IF(F8&gt;D8,F8-D8,0))</f>
        <v>0</v>
      </c>
      <c r="I8" s="16" t="n">
        <f aca="false">IF(L8="Inactive",0,IF(G8&gt;E8,G8-E8,0))</f>
        <v>0</v>
      </c>
      <c r="J8" s="17" t="n">
        <f aca="false">IF(L8="Inactive",0,IF(D8&gt;F8,D8-F8,0))</f>
        <v>0</v>
      </c>
      <c r="K8" s="16" t="n">
        <f aca="false">IF(L8="Inactive",0,IF(E8&gt;G8,E8-G8,0))</f>
        <v>0</v>
      </c>
      <c r="L8" s="18" t="s">
        <v>19</v>
      </c>
    </row>
    <row r="9" customFormat="false" ht="19.5" hidden="false" customHeight="true" outlineLevel="0" collapsed="false">
      <c r="A9" s="19" t="s">
        <v>238</v>
      </c>
      <c r="B9" s="13"/>
      <c r="C9" s="20" t="str">
        <f aca="false">IF(B9="","",TEXT(B9,"mmmm"))</f>
        <v/>
      </c>
      <c r="D9" s="15"/>
      <c r="E9" s="21" t="str">
        <f aca="false">IF(D9="","",D9*$K$4)</f>
        <v/>
      </c>
      <c r="F9" s="15"/>
      <c r="G9" s="21" t="str">
        <f aca="false">IF(F9="","",F9*$K$4)</f>
        <v/>
      </c>
      <c r="H9" s="22" t="n">
        <f aca="false">IF(L9="Inactive",0,IF(F9&gt;D9,F9-D9,0))</f>
        <v>0</v>
      </c>
      <c r="I9" s="21" t="n">
        <f aca="false">IF(L9="Inactive",0,IF(G9&gt;E9,G9-E9,0))</f>
        <v>0</v>
      </c>
      <c r="J9" s="22" t="n">
        <f aca="false">IF(L9="Inactive",0,IF(D9&gt;F9,D9-F9,0))</f>
        <v>0</v>
      </c>
      <c r="K9" s="21" t="n">
        <f aca="false">IF(L9="Inactive",0,IF(E9&gt;G9,E9-G9,0))</f>
        <v>0</v>
      </c>
      <c r="L9" s="18" t="s">
        <v>19</v>
      </c>
    </row>
    <row r="10" customFormat="false" ht="19.5" hidden="false" customHeight="true" outlineLevel="0" collapsed="false">
      <c r="A10" s="12" t="s">
        <v>239</v>
      </c>
      <c r="B10" s="13"/>
      <c r="C10" s="14" t="str">
        <f aca="false">IF(B10="","",TEXT(B10,"mmmm"))</f>
        <v/>
      </c>
      <c r="D10" s="15"/>
      <c r="E10" s="16" t="str">
        <f aca="false">IF(D10="","",D10*$K$4)</f>
        <v/>
      </c>
      <c r="F10" s="15"/>
      <c r="G10" s="16" t="str">
        <f aca="false">IF(F10="","",F10*$K$4)</f>
        <v/>
      </c>
      <c r="H10" s="17" t="n">
        <f aca="false">IF(L10="Inactive",0,IF(F10&gt;D10,F10-D10,0))</f>
        <v>0</v>
      </c>
      <c r="I10" s="16" t="n">
        <f aca="false">IF(L10="Inactive",0,IF(G10&gt;E10,G10-E10,0))</f>
        <v>0</v>
      </c>
      <c r="J10" s="17" t="n">
        <f aca="false">IF(L10="Inactive",0,IF(D10&gt;F10,D10-F10,0))</f>
        <v>0</v>
      </c>
      <c r="K10" s="16" t="n">
        <f aca="false">IF(L10="Inactive",0,IF(E10&gt;G10,E10-G10,0))</f>
        <v>0</v>
      </c>
      <c r="L10" s="18" t="s">
        <v>19</v>
      </c>
    </row>
    <row r="11" customFormat="false" ht="19.5" hidden="false" customHeight="true" outlineLevel="0" collapsed="false">
      <c r="A11" s="19" t="s">
        <v>240</v>
      </c>
      <c r="B11" s="13"/>
      <c r="C11" s="20" t="str">
        <f aca="false">IF(B11="","",TEXT(B11,"mmmm"))</f>
        <v/>
      </c>
      <c r="D11" s="15"/>
      <c r="E11" s="21" t="str">
        <f aca="false">IF(D11="","",D11*$K$4)</f>
        <v/>
      </c>
      <c r="F11" s="15"/>
      <c r="G11" s="21" t="str">
        <f aca="false">IF(F11="","",F11*$K$4)</f>
        <v/>
      </c>
      <c r="H11" s="22" t="n">
        <f aca="false">IF(L11="Inactive",0,IF(F11&gt;D11,F11-D11,0))</f>
        <v>0</v>
      </c>
      <c r="I11" s="21" t="n">
        <f aca="false">IF(L11="Inactive",0,IF(G11&gt;E11,G11-E11,0))</f>
        <v>0</v>
      </c>
      <c r="J11" s="22" t="n">
        <f aca="false">IF(L11="Inactive",0,IF(D11&gt;F11,D11-F11,0))</f>
        <v>0</v>
      </c>
      <c r="K11" s="21" t="n">
        <f aca="false">IF(L11="Inactive",0,IF(E11&gt;G11,E11-G11,0))</f>
        <v>0</v>
      </c>
      <c r="L11" s="18" t="s">
        <v>19</v>
      </c>
    </row>
    <row r="12" customFormat="false" ht="19.5" hidden="false" customHeight="true" outlineLevel="0" collapsed="false">
      <c r="A12" s="12" t="s">
        <v>241</v>
      </c>
      <c r="B12" s="13"/>
      <c r="C12" s="14" t="str">
        <f aca="false">IF(B12="","",TEXT(B12,"mmmm"))</f>
        <v/>
      </c>
      <c r="D12" s="15"/>
      <c r="E12" s="16" t="str">
        <f aca="false">IF(D12="","",D12*$K$4)</f>
        <v/>
      </c>
      <c r="F12" s="15"/>
      <c r="G12" s="16" t="str">
        <f aca="false">IF(F12="","",F12*$K$4)</f>
        <v/>
      </c>
      <c r="H12" s="17" t="n">
        <f aca="false">IF(L12="Inactive",0,IF(F12&gt;D12,F12-D12,0))</f>
        <v>0</v>
      </c>
      <c r="I12" s="16" t="n">
        <f aca="false">IF(L12="Inactive",0,IF(G12&gt;E12,G12-E12,0))</f>
        <v>0</v>
      </c>
      <c r="J12" s="17" t="n">
        <f aca="false">IF(L12="Inactive",0,IF(D12&gt;F12,D12-F12,0))</f>
        <v>0</v>
      </c>
      <c r="K12" s="16" t="n">
        <f aca="false">IF(L12="Inactive",0,IF(E12&gt;G12,E12-G12,0))</f>
        <v>0</v>
      </c>
      <c r="L12" s="18" t="s">
        <v>19</v>
      </c>
    </row>
    <row r="13" customFormat="false" ht="19.5" hidden="false" customHeight="true" outlineLevel="0" collapsed="false">
      <c r="A13" s="19" t="s">
        <v>242</v>
      </c>
      <c r="B13" s="13"/>
      <c r="C13" s="20" t="str">
        <f aca="false">IF(B13="","",TEXT(B13,"mmmm"))</f>
        <v/>
      </c>
      <c r="D13" s="15"/>
      <c r="E13" s="21" t="str">
        <f aca="false">IF(D13="","",D13*$K$4)</f>
        <v/>
      </c>
      <c r="F13" s="15"/>
      <c r="G13" s="21" t="str">
        <f aca="false">IF(F13="","",F13*$K$4)</f>
        <v/>
      </c>
      <c r="H13" s="22" t="n">
        <f aca="false">IF(L13="Inactive",0,IF(F13&gt;D13,F13-D13,0))</f>
        <v>0</v>
      </c>
      <c r="I13" s="21" t="n">
        <f aca="false">IF(L13="Inactive",0,IF(G13&gt;E13,G13-E13,0))</f>
        <v>0</v>
      </c>
      <c r="J13" s="22" t="n">
        <f aca="false">IF(L13="Inactive",0,IF(D13&gt;F13,D13-F13,0))</f>
        <v>0</v>
      </c>
      <c r="K13" s="21" t="n">
        <f aca="false">IF(L13="Inactive",0,IF(E13&gt;G13,E13-G13,0))</f>
        <v>0</v>
      </c>
      <c r="L13" s="18" t="s">
        <v>19</v>
      </c>
    </row>
    <row r="14" customFormat="false" ht="19.5" hidden="false" customHeight="true" outlineLevel="0" collapsed="false">
      <c r="A14" s="12" t="s">
        <v>243</v>
      </c>
      <c r="B14" s="13"/>
      <c r="C14" s="14" t="str">
        <f aca="false">IF(B14="","",TEXT(B14,"mmmm"))</f>
        <v/>
      </c>
      <c r="D14" s="15"/>
      <c r="E14" s="16" t="str">
        <f aca="false">IF(D14="","",D14*$K$4)</f>
        <v/>
      </c>
      <c r="F14" s="15"/>
      <c r="G14" s="16" t="str">
        <f aca="false">IF(F14="","",F14*$K$4)</f>
        <v/>
      </c>
      <c r="H14" s="17" t="n">
        <f aca="false">IF(L14="Inactive",0,IF(F14&gt;D14,F14-D14,0))</f>
        <v>0</v>
      </c>
      <c r="I14" s="16" t="n">
        <f aca="false">IF(L14="Inactive",0,IF(G14&gt;E14,G14-E14,0))</f>
        <v>0</v>
      </c>
      <c r="J14" s="17" t="n">
        <f aca="false">IF(L14="Inactive",0,IF(D14&gt;F14,D14-F14,0))</f>
        <v>0</v>
      </c>
      <c r="K14" s="16" t="n">
        <f aca="false">IF(L14="Inactive",0,IF(E14&gt;G14,E14-G14,0))</f>
        <v>0</v>
      </c>
      <c r="L14" s="18" t="s">
        <v>19</v>
      </c>
    </row>
    <row r="15" customFormat="false" ht="19.5" hidden="false" customHeight="true" outlineLevel="0" collapsed="false">
      <c r="A15" s="19" t="s">
        <v>244</v>
      </c>
      <c r="B15" s="13"/>
      <c r="C15" s="20" t="str">
        <f aca="false">IF(B15="","",TEXT(B15,"mmmm"))</f>
        <v/>
      </c>
      <c r="D15" s="15"/>
      <c r="E15" s="21" t="str">
        <f aca="false">IF(D15="","",D15*$K$4)</f>
        <v/>
      </c>
      <c r="F15" s="15"/>
      <c r="G15" s="21" t="str">
        <f aca="false">IF(F15="","",F15*$K$4)</f>
        <v/>
      </c>
      <c r="H15" s="22" t="n">
        <f aca="false">IF(L15="Inactive",0,IF(F15&gt;D15,F15-D15,0))</f>
        <v>0</v>
      </c>
      <c r="I15" s="21" t="n">
        <f aca="false">IF(L15="Inactive",0,IF(G15&gt;E15,G15-E15,0))</f>
        <v>0</v>
      </c>
      <c r="J15" s="22" t="n">
        <f aca="false">IF(L15="Inactive",0,IF(D15&gt;F15,D15-F15,0))</f>
        <v>0</v>
      </c>
      <c r="K15" s="21" t="n">
        <f aca="false">IF(L15="Inactive",0,IF(E15&gt;G15,E15-G15,0))</f>
        <v>0</v>
      </c>
      <c r="L15" s="18" t="s">
        <v>19</v>
      </c>
    </row>
    <row r="16" customFormat="false" ht="19.5" hidden="false" customHeight="true" outlineLevel="0" collapsed="false">
      <c r="A16" s="12" t="s">
        <v>245</v>
      </c>
      <c r="B16" s="13"/>
      <c r="C16" s="14" t="str">
        <f aca="false">IF(B16="","",TEXT(B16,"mmmm"))</f>
        <v/>
      </c>
      <c r="D16" s="15"/>
      <c r="E16" s="16" t="str">
        <f aca="false">IF(D16="","",D16*$K$4)</f>
        <v/>
      </c>
      <c r="F16" s="15"/>
      <c r="G16" s="16" t="str">
        <f aca="false">IF(F16="","",F16*$K$4)</f>
        <v/>
      </c>
      <c r="H16" s="17" t="n">
        <f aca="false">IF(L16="Inactive",0,IF(F16&gt;D16,F16-D16,0))</f>
        <v>0</v>
      </c>
      <c r="I16" s="16" t="n">
        <f aca="false">IF(L16="Inactive",0,IF(G16&gt;E16,G16-E16,0))</f>
        <v>0</v>
      </c>
      <c r="J16" s="17" t="n">
        <f aca="false">IF(L16="Inactive",0,IF(D16&gt;F16,D16-F16,0))</f>
        <v>0</v>
      </c>
      <c r="K16" s="16" t="n">
        <f aca="false">IF(L16="Inactive",0,IF(E16&gt;G16,E16-G16,0))</f>
        <v>0</v>
      </c>
      <c r="L16" s="18" t="s">
        <v>19</v>
      </c>
    </row>
    <row r="17" customFormat="false" ht="19.5" hidden="false" customHeight="true" outlineLevel="0" collapsed="false">
      <c r="A17" s="19" t="s">
        <v>246</v>
      </c>
      <c r="B17" s="13"/>
      <c r="C17" s="20" t="str">
        <f aca="false">IF(B17="","",TEXT(B17,"mmmm"))</f>
        <v/>
      </c>
      <c r="D17" s="15"/>
      <c r="E17" s="21" t="str">
        <f aca="false">IF(D17="","",D17*$K$4)</f>
        <v/>
      </c>
      <c r="F17" s="15"/>
      <c r="G17" s="21" t="str">
        <f aca="false">IF(F17="","",F17*$K$4)</f>
        <v/>
      </c>
      <c r="H17" s="22" t="n">
        <f aca="false">IF(L17="Inactive",0,IF(F17&gt;D17,F17-D17,0))</f>
        <v>0</v>
      </c>
      <c r="I17" s="21" t="n">
        <f aca="false">IF(L17="Inactive",0,IF(G17&gt;E17,G17-E17,0))</f>
        <v>0</v>
      </c>
      <c r="J17" s="22" t="n">
        <f aca="false">IF(L17="Inactive",0,IF(D17&gt;F17,D17-F17,0))</f>
        <v>0</v>
      </c>
      <c r="K17" s="21" t="n">
        <f aca="false">IF(L17="Inactive",0,IF(E17&gt;G17,E17-G17,0))</f>
        <v>0</v>
      </c>
      <c r="L17" s="18" t="s">
        <v>19</v>
      </c>
    </row>
    <row r="18" customFormat="false" ht="19.5" hidden="false" customHeight="true" outlineLevel="0" collapsed="false">
      <c r="A18" s="12" t="s">
        <v>247</v>
      </c>
      <c r="B18" s="13"/>
      <c r="C18" s="14" t="str">
        <f aca="false">IF(B18="","",TEXT(B18,"mmmm"))</f>
        <v/>
      </c>
      <c r="D18" s="15"/>
      <c r="E18" s="16" t="str">
        <f aca="false">IF(D18="","",D18*$K$4)</f>
        <v/>
      </c>
      <c r="F18" s="15"/>
      <c r="G18" s="16" t="str">
        <f aca="false">IF(F18="","",F18*$K$4)</f>
        <v/>
      </c>
      <c r="H18" s="17" t="n">
        <f aca="false">IF(L18="Inactive",0,IF(F18&gt;D18,F18-D18,0))</f>
        <v>0</v>
      </c>
      <c r="I18" s="16" t="n">
        <f aca="false">IF(L18="Inactive",0,IF(G18&gt;E18,G18-E18,0))</f>
        <v>0</v>
      </c>
      <c r="J18" s="17" t="n">
        <f aca="false">IF(L18="Inactive",0,IF(D18&gt;F18,D18-F18,0))</f>
        <v>0</v>
      </c>
      <c r="K18" s="16" t="n">
        <f aca="false">IF(L18="Inactive",0,IF(E18&gt;G18,E18-G18,0))</f>
        <v>0</v>
      </c>
      <c r="L18" s="18" t="s">
        <v>19</v>
      </c>
    </row>
    <row r="19" customFormat="false" ht="19.5" hidden="false" customHeight="true" outlineLevel="0" collapsed="false">
      <c r="A19" s="19" t="s">
        <v>248</v>
      </c>
      <c r="B19" s="13"/>
      <c r="C19" s="20" t="str">
        <f aca="false">IF(B19="","",TEXT(B19,"mmmm"))</f>
        <v/>
      </c>
      <c r="D19" s="15"/>
      <c r="E19" s="21" t="str">
        <f aca="false">IF(D19="","",D19*$K$4)</f>
        <v/>
      </c>
      <c r="F19" s="15"/>
      <c r="G19" s="21" t="str">
        <f aca="false">IF(F19="","",F19*$K$4)</f>
        <v/>
      </c>
      <c r="H19" s="22" t="n">
        <f aca="false">IF(L19="Inactive",0,IF(F19&gt;D19,F19-D19,0))</f>
        <v>0</v>
      </c>
      <c r="I19" s="21" t="n">
        <f aca="false">IF(L19="Inactive",0,IF(G19&gt;E19,G19-E19,0))</f>
        <v>0</v>
      </c>
      <c r="J19" s="22" t="n">
        <f aca="false">IF(L19="Inactive",0,IF(D19&gt;F19,D19-F19,0))</f>
        <v>0</v>
      </c>
      <c r="K19" s="21" t="n">
        <f aca="false">IF(L19="Inactive",0,IF(E19&gt;G19,E19-G19,0))</f>
        <v>0</v>
      </c>
      <c r="L19" s="18" t="s">
        <v>19</v>
      </c>
    </row>
    <row r="20" customFormat="false" ht="19.5" hidden="false" customHeight="true" outlineLevel="0" collapsed="false">
      <c r="A20" s="12" t="s">
        <v>249</v>
      </c>
      <c r="B20" s="13"/>
      <c r="C20" s="14" t="str">
        <f aca="false">IF(B20="","",TEXT(B20,"mmmm"))</f>
        <v/>
      </c>
      <c r="D20" s="15"/>
      <c r="E20" s="16" t="str">
        <f aca="false">IF(D20="","",D20*$K$4)</f>
        <v/>
      </c>
      <c r="F20" s="15"/>
      <c r="G20" s="16" t="str">
        <f aca="false">IF(F20="","",F20*$K$4)</f>
        <v/>
      </c>
      <c r="H20" s="17" t="n">
        <f aca="false">IF(L20="Inactive",0,IF(F20&gt;D20,F20-D20,0))</f>
        <v>0</v>
      </c>
      <c r="I20" s="16" t="n">
        <f aca="false">IF(L20="Inactive",0,IF(G20&gt;E20,G20-E20,0))</f>
        <v>0</v>
      </c>
      <c r="J20" s="17" t="n">
        <f aca="false">IF(L20="Inactive",0,IF(D20&gt;F20,D20-F20,0))</f>
        <v>0</v>
      </c>
      <c r="K20" s="16" t="n">
        <f aca="false">IF(L20="Inactive",0,IF(E20&gt;G20,E20-G20,0))</f>
        <v>0</v>
      </c>
      <c r="L20" s="18" t="s">
        <v>19</v>
      </c>
    </row>
    <row r="21" customFormat="false" ht="19.5" hidden="false" customHeight="true" outlineLevel="0" collapsed="false">
      <c r="A21" s="19" t="s">
        <v>250</v>
      </c>
      <c r="B21" s="13"/>
      <c r="C21" s="20" t="str">
        <f aca="false">IF(B21="","",TEXT(B21,"mmmm"))</f>
        <v/>
      </c>
      <c r="D21" s="15"/>
      <c r="E21" s="21" t="str">
        <f aca="false">IF(D21="","",D21*$K$4)</f>
        <v/>
      </c>
      <c r="F21" s="15"/>
      <c r="G21" s="21" t="str">
        <f aca="false">IF(F21="","",F21*$K$4)</f>
        <v/>
      </c>
      <c r="H21" s="22" t="n">
        <f aca="false">IF(L21="Inactive",0,IF(F21&gt;D21,F21-D21,0))</f>
        <v>0</v>
      </c>
      <c r="I21" s="21" t="n">
        <f aca="false">IF(L21="Inactive",0,IF(G21&gt;E21,G21-E21,0))</f>
        <v>0</v>
      </c>
      <c r="J21" s="22" t="n">
        <f aca="false">IF(L21="Inactive",0,IF(D21&gt;F21,D21-F21,0))</f>
        <v>0</v>
      </c>
      <c r="K21" s="21" t="n">
        <f aca="false">IF(L21="Inactive",0,IF(E21&gt;G21,E21-G21,0))</f>
        <v>0</v>
      </c>
      <c r="L21" s="18" t="s">
        <v>19</v>
      </c>
    </row>
    <row r="22" customFormat="false" ht="19.5" hidden="false" customHeight="true" outlineLevel="0" collapsed="false">
      <c r="A22" s="12" t="s">
        <v>251</v>
      </c>
      <c r="B22" s="13"/>
      <c r="C22" s="14" t="str">
        <f aca="false">IF(B22="","",TEXT(B22,"mmmm"))</f>
        <v/>
      </c>
      <c r="D22" s="15"/>
      <c r="E22" s="16" t="str">
        <f aca="false">IF(D22="","",D22*$K$4)</f>
        <v/>
      </c>
      <c r="F22" s="15"/>
      <c r="G22" s="16" t="str">
        <f aca="false">IF(F22="","",F22*$K$4)</f>
        <v/>
      </c>
      <c r="H22" s="17" t="n">
        <f aca="false">IF(L22="Inactive",0,IF(F22&gt;D22,F22-D22,0))</f>
        <v>0</v>
      </c>
      <c r="I22" s="16" t="n">
        <f aca="false">IF(L22="Inactive",0,IF(G22&gt;E22,G22-E22,0))</f>
        <v>0</v>
      </c>
      <c r="J22" s="17" t="n">
        <f aca="false">IF(L22="Inactive",0,IF(D22&gt;F22,D22-F22,0))</f>
        <v>0</v>
      </c>
      <c r="K22" s="16" t="n">
        <f aca="false">IF(L22="Inactive",0,IF(E22&gt;G22,E22-G22,0))</f>
        <v>0</v>
      </c>
      <c r="L22" s="18" t="s">
        <v>19</v>
      </c>
    </row>
    <row r="23" customFormat="false" ht="19.5" hidden="false" customHeight="true" outlineLevel="0" collapsed="false">
      <c r="A23" s="19" t="s">
        <v>252</v>
      </c>
      <c r="B23" s="13"/>
      <c r="C23" s="20" t="str">
        <f aca="false">IF(B23="","",TEXT(B23,"mmmm"))</f>
        <v/>
      </c>
      <c r="D23" s="15"/>
      <c r="E23" s="21" t="str">
        <f aca="false">IF(D23="","",D23*$K$4)</f>
        <v/>
      </c>
      <c r="F23" s="15"/>
      <c r="G23" s="21" t="str">
        <f aca="false">IF(F23="","",F23*$K$4)</f>
        <v/>
      </c>
      <c r="H23" s="22" t="n">
        <f aca="false">IF(L23="Inactive",0,IF(F23&gt;D23,F23-D23,0))</f>
        <v>0</v>
      </c>
      <c r="I23" s="21" t="n">
        <f aca="false">IF(L23="Inactive",0,IF(G23&gt;E23,G23-E23,0))</f>
        <v>0</v>
      </c>
      <c r="J23" s="22" t="n">
        <f aca="false">IF(L23="Inactive",0,IF(D23&gt;F23,D23-F23,0))</f>
        <v>0</v>
      </c>
      <c r="K23" s="21" t="n">
        <f aca="false">IF(L23="Inactive",0,IF(E23&gt;G23,E23-G23,0))</f>
        <v>0</v>
      </c>
      <c r="L23" s="18" t="s">
        <v>19</v>
      </c>
    </row>
    <row r="24" customFormat="false" ht="19.5" hidden="false" customHeight="true" outlineLevel="0" collapsed="false">
      <c r="A24" s="12" t="s">
        <v>253</v>
      </c>
      <c r="B24" s="13"/>
      <c r="C24" s="14" t="str">
        <f aca="false">IF(B24="","",TEXT(B24,"mmmm"))</f>
        <v/>
      </c>
      <c r="D24" s="15"/>
      <c r="E24" s="16" t="str">
        <f aca="false">IF(D24="","",D24*$K$4)</f>
        <v/>
      </c>
      <c r="F24" s="15"/>
      <c r="G24" s="16" t="str">
        <f aca="false">IF(F24="","",F24*$K$4)</f>
        <v/>
      </c>
      <c r="H24" s="17" t="n">
        <f aca="false">IF(L24="Inactive",0,IF(F24&gt;D24,F24-D24,0))</f>
        <v>0</v>
      </c>
      <c r="I24" s="16" t="n">
        <f aca="false">IF(L24="Inactive",0,IF(G24&gt;E24,G24-E24,0))</f>
        <v>0</v>
      </c>
      <c r="J24" s="17" t="n">
        <f aca="false">IF(L24="Inactive",0,IF(D24&gt;F24,D24-F24,0))</f>
        <v>0</v>
      </c>
      <c r="K24" s="16" t="n">
        <f aca="false">IF(L24="Inactive",0,IF(E24&gt;G24,E24-G24,0))</f>
        <v>0</v>
      </c>
      <c r="L24" s="18" t="s">
        <v>19</v>
      </c>
    </row>
    <row r="25" customFormat="false" ht="19.5" hidden="false" customHeight="true" outlineLevel="0" collapsed="false">
      <c r="A25" s="19" t="s">
        <v>254</v>
      </c>
      <c r="B25" s="13"/>
      <c r="C25" s="20" t="str">
        <f aca="false">IF(B25="","",TEXT(B25,"mmmm"))</f>
        <v/>
      </c>
      <c r="D25" s="15"/>
      <c r="E25" s="21" t="str">
        <f aca="false">IF(D25="","",D25*$K$4)</f>
        <v/>
      </c>
      <c r="F25" s="15"/>
      <c r="G25" s="21" t="str">
        <f aca="false">IF(F25="","",F25*$K$4)</f>
        <v/>
      </c>
      <c r="H25" s="22" t="n">
        <f aca="false">IF(L25="Inactive",0,IF(F25&gt;D25,F25-D25,0))</f>
        <v>0</v>
      </c>
      <c r="I25" s="21" t="n">
        <f aca="false">IF(L25="Inactive",0,IF(G25&gt;E25,G25-E25,0))</f>
        <v>0</v>
      </c>
      <c r="J25" s="22" t="n">
        <f aca="false">IF(L25="Inactive",0,IF(D25&gt;F25,D25-F25,0))</f>
        <v>0</v>
      </c>
      <c r="K25" s="21" t="n">
        <f aca="false">IF(L25="Inactive",0,IF(E25&gt;G25,E25-G25,0))</f>
        <v>0</v>
      </c>
      <c r="L25" s="18" t="s">
        <v>19</v>
      </c>
    </row>
    <row r="26" customFormat="false" ht="19.5" hidden="false" customHeight="true" outlineLevel="0" collapsed="false">
      <c r="A26" s="12" t="s">
        <v>255</v>
      </c>
      <c r="B26" s="13"/>
      <c r="C26" s="14" t="str">
        <f aca="false">IF(B26="","",TEXT(B26,"mmmm"))</f>
        <v/>
      </c>
      <c r="D26" s="15"/>
      <c r="E26" s="16" t="str">
        <f aca="false">IF(D26="","",D26*$K$4)</f>
        <v/>
      </c>
      <c r="F26" s="15"/>
      <c r="G26" s="16" t="str">
        <f aca="false">IF(F26="","",F26*$K$4)</f>
        <v/>
      </c>
      <c r="H26" s="17" t="n">
        <f aca="false">IF(L26="Inactive",0,IF(F26&gt;D26,F26-D26,0))</f>
        <v>0</v>
      </c>
      <c r="I26" s="16" t="n">
        <f aca="false">IF(L26="Inactive",0,IF(G26&gt;E26,G26-E26,0))</f>
        <v>0</v>
      </c>
      <c r="J26" s="17" t="n">
        <f aca="false">IF(L26="Inactive",0,IF(D26&gt;F26,D26-F26,0))</f>
        <v>0</v>
      </c>
      <c r="K26" s="16" t="n">
        <f aca="false">IF(L26="Inactive",0,IF(E26&gt;G26,E26-G26,0))</f>
        <v>0</v>
      </c>
      <c r="L26" s="18" t="s">
        <v>19</v>
      </c>
    </row>
    <row r="27" customFormat="false" ht="19.5" hidden="false" customHeight="true" outlineLevel="0" collapsed="false">
      <c r="A27" s="19" t="s">
        <v>256</v>
      </c>
      <c r="B27" s="13"/>
      <c r="C27" s="20" t="str">
        <f aca="false">IF(B27="","",TEXT(B27,"mmmm"))</f>
        <v/>
      </c>
      <c r="D27" s="15"/>
      <c r="E27" s="21" t="str">
        <f aca="false">IF(D27="","",D27*$K$4)</f>
        <v/>
      </c>
      <c r="F27" s="15"/>
      <c r="G27" s="21" t="str">
        <f aca="false">IF(F27="","",F27*$K$4)</f>
        <v/>
      </c>
      <c r="H27" s="22" t="n">
        <f aca="false">IF(L27="Inactive",0,IF(F27&gt;D27,F27-D27,0))</f>
        <v>0</v>
      </c>
      <c r="I27" s="21" t="n">
        <f aca="false">IF(L27="Inactive",0,IF(G27&gt;E27,G27-E27,0))</f>
        <v>0</v>
      </c>
      <c r="J27" s="22" t="n">
        <f aca="false">IF(L27="Inactive",0,IF(D27&gt;F27,D27-F27,0))</f>
        <v>0</v>
      </c>
      <c r="K27" s="21" t="n">
        <f aca="false">IF(L27="Inactive",0,IF(E27&gt;G27,E27-G27,0))</f>
        <v>0</v>
      </c>
      <c r="L27" s="18" t="s">
        <v>19</v>
      </c>
    </row>
    <row r="28" customFormat="false" ht="19.5" hidden="false" customHeight="true" outlineLevel="0" collapsed="false">
      <c r="A28" s="12" t="s">
        <v>257</v>
      </c>
      <c r="B28" s="13"/>
      <c r="C28" s="14" t="str">
        <f aca="false">IF(B28="","",TEXT(B28,"mmmm"))</f>
        <v/>
      </c>
      <c r="D28" s="15"/>
      <c r="E28" s="16" t="str">
        <f aca="false">IF(D28="","",D28*$K$4)</f>
        <v/>
      </c>
      <c r="F28" s="15"/>
      <c r="G28" s="16" t="str">
        <f aca="false">IF(F28="","",F28*$K$4)</f>
        <v/>
      </c>
      <c r="H28" s="17" t="n">
        <f aca="false">IF(L28="Inactive",0,IF(F28&gt;D28,F28-D28,0))</f>
        <v>0</v>
      </c>
      <c r="I28" s="16" t="n">
        <f aca="false">IF(L28="Inactive",0,IF(G28&gt;E28,G28-E28,0))</f>
        <v>0</v>
      </c>
      <c r="J28" s="17" t="n">
        <f aca="false">IF(L28="Inactive",0,IF(D28&gt;F28,D28-F28,0))</f>
        <v>0</v>
      </c>
      <c r="K28" s="16" t="n">
        <f aca="false">IF(L28="Inactive",0,IF(E28&gt;G28,E28-G28,0))</f>
        <v>0</v>
      </c>
      <c r="L28" s="18" t="s">
        <v>19</v>
      </c>
    </row>
    <row r="29" customFormat="false" ht="19.5" hidden="false" customHeight="true" outlineLevel="0" collapsed="false">
      <c r="A29" s="19" t="s">
        <v>258</v>
      </c>
      <c r="B29" s="13"/>
      <c r="C29" s="20" t="str">
        <f aca="false">IF(B29="","",TEXT(B29,"mmmm"))</f>
        <v/>
      </c>
      <c r="D29" s="15"/>
      <c r="E29" s="21" t="str">
        <f aca="false">IF(D29="","",D29*$K$4)</f>
        <v/>
      </c>
      <c r="F29" s="15"/>
      <c r="G29" s="21" t="str">
        <f aca="false">IF(F29="","",F29*$K$4)</f>
        <v/>
      </c>
      <c r="H29" s="22" t="n">
        <f aca="false">IF(L29="Inactive",0,IF(F29&gt;D29,F29-D29,0))</f>
        <v>0</v>
      </c>
      <c r="I29" s="21" t="n">
        <f aca="false">IF(L29="Inactive",0,IF(G29&gt;E29,G29-E29,0))</f>
        <v>0</v>
      </c>
      <c r="J29" s="22" t="n">
        <f aca="false">IF(L29="Inactive",0,IF(D29&gt;F29,D29-F29,0))</f>
        <v>0</v>
      </c>
      <c r="K29" s="21" t="n">
        <f aca="false">IF(L29="Inactive",0,IF(E29&gt;G29,E29-G29,0))</f>
        <v>0</v>
      </c>
      <c r="L29" s="18" t="s">
        <v>19</v>
      </c>
    </row>
    <row r="30" customFormat="false" ht="19.5" hidden="false" customHeight="true" outlineLevel="0" collapsed="false">
      <c r="A30" s="12" t="s">
        <v>259</v>
      </c>
      <c r="B30" s="13"/>
      <c r="C30" s="14" t="str">
        <f aca="false">IF(B30="","",TEXT(B30,"mmmm"))</f>
        <v/>
      </c>
      <c r="D30" s="15"/>
      <c r="E30" s="16" t="str">
        <f aca="false">IF(D30="","",D30*$K$4)</f>
        <v/>
      </c>
      <c r="F30" s="15"/>
      <c r="G30" s="16" t="str">
        <f aca="false">IF(F30="","",F30*$K$4)</f>
        <v/>
      </c>
      <c r="H30" s="17" t="n">
        <f aca="false">IF(L30="Inactive",0,IF(F30&gt;D30,F30-D30,0))</f>
        <v>0</v>
      </c>
      <c r="I30" s="16" t="n">
        <f aca="false">IF(L30="Inactive",0,IF(G30&gt;E30,G30-E30,0))</f>
        <v>0</v>
      </c>
      <c r="J30" s="17" t="n">
        <f aca="false">IF(L30="Inactive",0,IF(D30&gt;F30,D30-F30,0))</f>
        <v>0</v>
      </c>
      <c r="K30" s="16" t="n">
        <f aca="false">IF(L30="Inactive",0,IF(E30&gt;G30,E30-G30,0))</f>
        <v>0</v>
      </c>
      <c r="L30" s="18" t="s">
        <v>19</v>
      </c>
    </row>
    <row r="31" customFormat="false" ht="19.5" hidden="false" customHeight="true" outlineLevel="0" collapsed="false">
      <c r="A31" s="19" t="s">
        <v>260</v>
      </c>
      <c r="B31" s="13"/>
      <c r="C31" s="20" t="str">
        <f aca="false">IF(B31="","",TEXT(B31,"mmmm"))</f>
        <v/>
      </c>
      <c r="D31" s="15"/>
      <c r="E31" s="21" t="str">
        <f aca="false">IF(D31="","",D31*$K$4)</f>
        <v/>
      </c>
      <c r="F31" s="15"/>
      <c r="G31" s="21" t="str">
        <f aca="false">IF(F31="","",F31*$K$4)</f>
        <v/>
      </c>
      <c r="H31" s="22" t="n">
        <f aca="false">IF(L31="Inactive",0,IF(F31&gt;D31,F31-D31,0))</f>
        <v>0</v>
      </c>
      <c r="I31" s="21" t="n">
        <f aca="false">IF(L31="Inactive",0,IF(G31&gt;E31,G31-E31,0))</f>
        <v>0</v>
      </c>
      <c r="J31" s="22" t="n">
        <f aca="false">IF(L31="Inactive",0,IF(D31&gt;F31,D31-F31,0))</f>
        <v>0</v>
      </c>
      <c r="K31" s="21" t="n">
        <f aca="false">IF(L31="Inactive",0,IF(E31&gt;G31,E31-G31,0))</f>
        <v>0</v>
      </c>
      <c r="L31" s="18" t="s">
        <v>19</v>
      </c>
    </row>
    <row r="32" customFormat="false" ht="19.5" hidden="false" customHeight="true" outlineLevel="0" collapsed="false">
      <c r="A32" s="12" t="s">
        <v>261</v>
      </c>
      <c r="B32" s="13"/>
      <c r="C32" s="14" t="str">
        <f aca="false">IF(B32="","",TEXT(B32,"mmmm"))</f>
        <v/>
      </c>
      <c r="D32" s="15"/>
      <c r="E32" s="16" t="str">
        <f aca="false">IF(D32="","",D32*$K$4)</f>
        <v/>
      </c>
      <c r="F32" s="15"/>
      <c r="G32" s="16" t="str">
        <f aca="false">IF(F32="","",F32*$K$4)</f>
        <v/>
      </c>
      <c r="H32" s="17" t="n">
        <f aca="false">IF(L32="Inactive",0,IF(F32&gt;D32,F32-D32,0))</f>
        <v>0</v>
      </c>
      <c r="I32" s="16" t="n">
        <f aca="false">IF(L32="Inactive",0,IF(G32&gt;E32,G32-E32,0))</f>
        <v>0</v>
      </c>
      <c r="J32" s="17" t="n">
        <f aca="false">IF(L32="Inactive",0,IF(D32&gt;F32,D32-F32,0))</f>
        <v>0</v>
      </c>
      <c r="K32" s="16" t="n">
        <f aca="false">IF(L32="Inactive",0,IF(E32&gt;G32,E32-G32,0))</f>
        <v>0</v>
      </c>
      <c r="L32" s="18" t="s">
        <v>19</v>
      </c>
    </row>
    <row r="33" customFormat="false" ht="19.5" hidden="false" customHeight="true" outlineLevel="0" collapsed="false">
      <c r="A33" s="19" t="s">
        <v>262</v>
      </c>
      <c r="B33" s="13"/>
      <c r="C33" s="20" t="str">
        <f aca="false">IF(B33="","",TEXT(B33,"mmmm"))</f>
        <v/>
      </c>
      <c r="D33" s="15"/>
      <c r="E33" s="21" t="str">
        <f aca="false">IF(D33="","",D33*$K$4)</f>
        <v/>
      </c>
      <c r="F33" s="15"/>
      <c r="G33" s="21" t="str">
        <f aca="false">IF(F33="","",F33*$K$4)</f>
        <v/>
      </c>
      <c r="H33" s="22" t="n">
        <f aca="false">IF(L33="Inactive",0,IF(F33&gt;D33,F33-D33,0))</f>
        <v>0</v>
      </c>
      <c r="I33" s="21" t="n">
        <f aca="false">IF(L33="Inactive",0,IF(G33&gt;E33,G33-E33,0))</f>
        <v>0</v>
      </c>
      <c r="J33" s="22" t="n">
        <f aca="false">IF(L33="Inactive",0,IF(D33&gt;F33,D33-F33,0))</f>
        <v>0</v>
      </c>
      <c r="K33" s="21" t="n">
        <f aca="false">IF(L33="Inactive",0,IF(E33&gt;G33,E33-G33,0))</f>
        <v>0</v>
      </c>
      <c r="L33" s="18" t="s">
        <v>19</v>
      </c>
    </row>
    <row r="34" customFormat="false" ht="19.5" hidden="false" customHeight="true" outlineLevel="0" collapsed="false">
      <c r="A34" s="12" t="s">
        <v>263</v>
      </c>
      <c r="B34" s="13"/>
      <c r="C34" s="14" t="str">
        <f aca="false">IF(B34="","",TEXT(B34,"mmmm"))</f>
        <v/>
      </c>
      <c r="D34" s="15"/>
      <c r="E34" s="16" t="str">
        <f aca="false">IF(D34="","",D34*$K$4)</f>
        <v/>
      </c>
      <c r="F34" s="15"/>
      <c r="G34" s="16" t="str">
        <f aca="false">IF(F34="","",F34*$K$4)</f>
        <v/>
      </c>
      <c r="H34" s="17" t="n">
        <f aca="false">IF(L34="Inactive",0,IF(F34&gt;D34,F34-D34,0))</f>
        <v>0</v>
      </c>
      <c r="I34" s="16" t="n">
        <f aca="false">IF(L34="Inactive",0,IF(G34&gt;E34,G34-E34,0))</f>
        <v>0</v>
      </c>
      <c r="J34" s="17" t="n">
        <f aca="false">IF(L34="Inactive",0,IF(D34&gt;F34,D34-F34,0))</f>
        <v>0</v>
      </c>
      <c r="K34" s="16" t="n">
        <f aca="false">IF(L34="Inactive",0,IF(E34&gt;G34,E34-G34,0))</f>
        <v>0</v>
      </c>
      <c r="L34" s="18" t="s">
        <v>19</v>
      </c>
    </row>
    <row r="35" customFormat="false" ht="19.5" hidden="false" customHeight="true" outlineLevel="0" collapsed="false">
      <c r="A35" s="19" t="s">
        <v>264</v>
      </c>
      <c r="B35" s="13"/>
      <c r="C35" s="20" t="str">
        <f aca="false">IF(B35="","",TEXT(B35,"mmmm"))</f>
        <v/>
      </c>
      <c r="D35" s="15"/>
      <c r="E35" s="21" t="str">
        <f aca="false">IF(D35="","",D35*$K$4)</f>
        <v/>
      </c>
      <c r="F35" s="15"/>
      <c r="G35" s="21" t="str">
        <f aca="false">IF(F35="","",F35*$K$4)</f>
        <v/>
      </c>
      <c r="H35" s="22" t="n">
        <f aca="false">IF(L35="Inactive",0,IF(F35&gt;D35,F35-D35,0))</f>
        <v>0</v>
      </c>
      <c r="I35" s="21" t="n">
        <f aca="false">IF(L35="Inactive",0,IF(G35&gt;E35,G35-E35,0))</f>
        <v>0</v>
      </c>
      <c r="J35" s="22" t="n">
        <f aca="false">IF(L35="Inactive",0,IF(D35&gt;F35,D35-F35,0))</f>
        <v>0</v>
      </c>
      <c r="K35" s="21" t="n">
        <f aca="false">IF(L35="Inactive",0,IF(E35&gt;G35,E35-G35,0))</f>
        <v>0</v>
      </c>
      <c r="L35" s="18" t="s">
        <v>19</v>
      </c>
    </row>
    <row r="36" customFormat="false" ht="19.5" hidden="false" customHeight="true" outlineLevel="0" collapsed="false">
      <c r="A36" s="12" t="s">
        <v>265</v>
      </c>
      <c r="B36" s="13"/>
      <c r="C36" s="14" t="str">
        <f aca="false">IF(B36="","",TEXT(B36,"mmmm"))</f>
        <v/>
      </c>
      <c r="D36" s="15"/>
      <c r="E36" s="16" t="str">
        <f aca="false">IF(D36="","",D36*$K$4)</f>
        <v/>
      </c>
      <c r="F36" s="15"/>
      <c r="G36" s="16" t="str">
        <f aca="false">IF(F36="","",F36*$K$4)</f>
        <v/>
      </c>
      <c r="H36" s="17" t="n">
        <f aca="false">IF(L36="Inactive",0,IF(F36&gt;D36,F36-D36,0))</f>
        <v>0</v>
      </c>
      <c r="I36" s="16" t="n">
        <f aca="false">IF(L36="Inactive",0,IF(G36&gt;E36,G36-E36,0))</f>
        <v>0</v>
      </c>
      <c r="J36" s="17" t="n">
        <f aca="false">IF(L36="Inactive",0,IF(D36&gt;F36,D36-F36,0))</f>
        <v>0</v>
      </c>
      <c r="K36" s="16" t="n">
        <f aca="false">IF(L36="Inactive",0,IF(E36&gt;G36,E36-G36,0))</f>
        <v>0</v>
      </c>
      <c r="L36" s="18" t="s">
        <v>19</v>
      </c>
    </row>
    <row r="37" customFormat="false" ht="19.5" hidden="false" customHeight="true" outlineLevel="0" collapsed="false">
      <c r="A37" s="19" t="s">
        <v>266</v>
      </c>
      <c r="B37" s="13"/>
      <c r="C37" s="20" t="str">
        <f aca="false">IF(B37="","",TEXT(B37,"mmmm"))</f>
        <v/>
      </c>
      <c r="D37" s="15"/>
      <c r="E37" s="21" t="str">
        <f aca="false">IF(D37="","",D37*$K$4)</f>
        <v/>
      </c>
      <c r="F37" s="15"/>
      <c r="G37" s="21" t="str">
        <f aca="false">IF(F37="","",F37*$K$4)</f>
        <v/>
      </c>
      <c r="H37" s="22" t="n">
        <f aca="false">IF(L37="Inactive",0,IF(F37&gt;D37,F37-D37,0))</f>
        <v>0</v>
      </c>
      <c r="I37" s="21" t="n">
        <f aca="false">IF(L37="Inactive",0,IF(G37&gt;E37,G37-E37,0))</f>
        <v>0</v>
      </c>
      <c r="J37" s="22" t="n">
        <f aca="false">IF(L37="Inactive",0,IF(D37&gt;F37,D37-F37,0))</f>
        <v>0</v>
      </c>
      <c r="K37" s="21" t="n">
        <f aca="false">IF(L37="Inactive",0,IF(E37&gt;G37,E37-G37,0))</f>
        <v>0</v>
      </c>
      <c r="L37" s="18" t="s">
        <v>19</v>
      </c>
    </row>
    <row r="38" customFormat="false" ht="19.5" hidden="false" customHeight="true" outlineLevel="0" collapsed="false">
      <c r="A38" s="12" t="s">
        <v>267</v>
      </c>
      <c r="B38" s="13"/>
      <c r="C38" s="14" t="str">
        <f aca="false">IF(B38="","",TEXT(B38,"mmmm"))</f>
        <v/>
      </c>
      <c r="D38" s="15"/>
      <c r="E38" s="16" t="str">
        <f aca="false">IF(D38="","",D38*$K$4)</f>
        <v/>
      </c>
      <c r="F38" s="15"/>
      <c r="G38" s="16" t="str">
        <f aca="false">IF(F38="","",F38*$K$4)</f>
        <v/>
      </c>
      <c r="H38" s="17" t="n">
        <f aca="false">IF(L38="Inactive",0,IF(F38&gt;D38,F38-D38,0))</f>
        <v>0</v>
      </c>
      <c r="I38" s="16" t="n">
        <f aca="false">IF(L38="Inactive",0,IF(G38&gt;E38,G38-E38,0))</f>
        <v>0</v>
      </c>
      <c r="J38" s="17" t="n">
        <f aca="false">IF(L38="Inactive",0,IF(D38&gt;F38,D38-F38,0))</f>
        <v>0</v>
      </c>
      <c r="K38" s="16" t="n">
        <f aca="false">IF(L38="Inactive",0,IF(E38&gt;G38,E38-G38,0))</f>
        <v>0</v>
      </c>
      <c r="L38" s="18" t="s">
        <v>19</v>
      </c>
    </row>
    <row r="39" customFormat="false" ht="19.5" hidden="false" customHeight="true" outlineLevel="0" collapsed="false">
      <c r="A39" s="19" t="s">
        <v>268</v>
      </c>
      <c r="B39" s="13"/>
      <c r="C39" s="20" t="str">
        <f aca="false">IF(B39="","",TEXT(B39,"mmmm"))</f>
        <v/>
      </c>
      <c r="D39" s="15"/>
      <c r="E39" s="21" t="str">
        <f aca="false">IF(D39="","",D39*$K$4)</f>
        <v/>
      </c>
      <c r="F39" s="15"/>
      <c r="G39" s="21" t="str">
        <f aca="false">IF(F39="","",F39*$K$4)</f>
        <v/>
      </c>
      <c r="H39" s="22" t="n">
        <f aca="false">IF(L39="Inactive",0,IF(F39&gt;D39,F39-D39,0))</f>
        <v>0</v>
      </c>
      <c r="I39" s="21" t="n">
        <f aca="false">IF(L39="Inactive",0,IF(G39&gt;E39,G39-E39,0))</f>
        <v>0</v>
      </c>
      <c r="J39" s="22" t="n">
        <f aca="false">IF(L39="Inactive",0,IF(D39&gt;F39,D39-F39,0))</f>
        <v>0</v>
      </c>
      <c r="K39" s="21" t="n">
        <f aca="false">IF(L39="Inactive",0,IF(E39&gt;G39,E39-G39,0))</f>
        <v>0</v>
      </c>
      <c r="L39" s="18" t="s">
        <v>19</v>
      </c>
    </row>
    <row r="40" customFormat="false" ht="19.5" hidden="false" customHeight="true" outlineLevel="0" collapsed="false">
      <c r="A40" s="12" t="s">
        <v>269</v>
      </c>
      <c r="B40" s="13"/>
      <c r="C40" s="14" t="str">
        <f aca="false">IF(B40="","",TEXT(B40,"mmmm"))</f>
        <v/>
      </c>
      <c r="D40" s="15"/>
      <c r="E40" s="16" t="str">
        <f aca="false">IF(D40="","",D40*$K$4)</f>
        <v/>
      </c>
      <c r="F40" s="15"/>
      <c r="G40" s="16" t="str">
        <f aca="false">IF(F40="","",F40*$K$4)</f>
        <v/>
      </c>
      <c r="H40" s="17" t="n">
        <f aca="false">IF(L40="Inactive",0,IF(F40&gt;D40,F40-D40,0))</f>
        <v>0</v>
      </c>
      <c r="I40" s="16" t="n">
        <f aca="false">IF(L40="Inactive",0,IF(G40&gt;E40,G40-E40,0))</f>
        <v>0</v>
      </c>
      <c r="J40" s="17" t="n">
        <f aca="false">IF(L40="Inactive",0,IF(D40&gt;F40,D40-F40,0))</f>
        <v>0</v>
      </c>
      <c r="K40" s="16" t="n">
        <f aca="false">IF(L40="Inactive",0,IF(E40&gt;G40,E40-G40,0))</f>
        <v>0</v>
      </c>
      <c r="L40" s="18" t="s">
        <v>19</v>
      </c>
    </row>
    <row r="41" customFormat="false" ht="19.5" hidden="false" customHeight="true" outlineLevel="0" collapsed="false">
      <c r="A41" s="19" t="s">
        <v>270</v>
      </c>
      <c r="B41" s="13"/>
      <c r="C41" s="20" t="str">
        <f aca="false">IF(B41="","",TEXT(B41,"mmmm"))</f>
        <v/>
      </c>
      <c r="D41" s="15"/>
      <c r="E41" s="21" t="str">
        <f aca="false">IF(D41="","",D41*$K$4)</f>
        <v/>
      </c>
      <c r="F41" s="15"/>
      <c r="G41" s="21" t="str">
        <f aca="false">IF(F41="","",F41*$K$4)</f>
        <v/>
      </c>
      <c r="H41" s="22" t="n">
        <f aca="false">IF(L41="Inactive",0,IF(F41&gt;D41,F41-D41,0))</f>
        <v>0</v>
      </c>
      <c r="I41" s="21" t="n">
        <f aca="false">IF(L41="Inactive",0,IF(G41&gt;E41,G41-E41,0))</f>
        <v>0</v>
      </c>
      <c r="J41" s="22" t="n">
        <f aca="false">IF(L41="Inactive",0,IF(D41&gt;F41,D41-F41,0))</f>
        <v>0</v>
      </c>
      <c r="K41" s="21" t="n">
        <f aca="false">IF(L41="Inactive",0,IF(E41&gt;G41,E41-G41,0))</f>
        <v>0</v>
      </c>
      <c r="L41" s="18" t="s">
        <v>19</v>
      </c>
    </row>
    <row r="42" customFormat="false" ht="19.5" hidden="false" customHeight="true" outlineLevel="0" collapsed="false">
      <c r="A42" s="12" t="s">
        <v>271</v>
      </c>
      <c r="B42" s="13"/>
      <c r="C42" s="14" t="str">
        <f aca="false">IF(B42="","",TEXT(B42,"mmmm"))</f>
        <v/>
      </c>
      <c r="D42" s="15"/>
      <c r="E42" s="16" t="str">
        <f aca="false">IF(D42="","",D42*$K$4)</f>
        <v/>
      </c>
      <c r="F42" s="15"/>
      <c r="G42" s="16" t="str">
        <f aca="false">IF(F42="","",F42*$K$4)</f>
        <v/>
      </c>
      <c r="H42" s="17" t="n">
        <f aca="false">IF(L42="Inactive",0,IF(F42&gt;D42,F42-D42,0))</f>
        <v>0</v>
      </c>
      <c r="I42" s="16" t="n">
        <f aca="false">IF(L42="Inactive",0,IF(G42&gt;E42,G42-E42,0))</f>
        <v>0</v>
      </c>
      <c r="J42" s="17" t="n">
        <f aca="false">IF(L42="Inactive",0,IF(D42&gt;F42,D42-F42,0))</f>
        <v>0</v>
      </c>
      <c r="K42" s="16" t="n">
        <f aca="false">IF(L42="Inactive",0,IF(E42&gt;G42,E42-G42,0))</f>
        <v>0</v>
      </c>
      <c r="L42" s="18" t="s">
        <v>19</v>
      </c>
    </row>
    <row r="43" customFormat="false" ht="19.5" hidden="false" customHeight="true" outlineLevel="0" collapsed="false">
      <c r="A43" s="19" t="s">
        <v>272</v>
      </c>
      <c r="B43" s="13"/>
      <c r="C43" s="20" t="str">
        <f aca="false">IF(B43="","",TEXT(B43,"mmmm"))</f>
        <v/>
      </c>
      <c r="D43" s="15"/>
      <c r="E43" s="21" t="str">
        <f aca="false">IF(D43="","",D43*$K$4)</f>
        <v/>
      </c>
      <c r="F43" s="15"/>
      <c r="G43" s="21" t="str">
        <f aca="false">IF(F43="","",F43*$K$4)</f>
        <v/>
      </c>
      <c r="H43" s="22" t="n">
        <f aca="false">IF(L43="Inactive",0,IF(F43&gt;D43,F43-D43,0))</f>
        <v>0</v>
      </c>
      <c r="I43" s="21" t="n">
        <f aca="false">IF(L43="Inactive",0,IF(G43&gt;E43,G43-E43,0))</f>
        <v>0</v>
      </c>
      <c r="J43" s="22" t="n">
        <f aca="false">IF(L43="Inactive",0,IF(D43&gt;F43,D43-F43,0))</f>
        <v>0</v>
      </c>
      <c r="K43" s="21" t="n">
        <f aca="false">IF(L43="Inactive",0,IF(E43&gt;G43,E43-G43,0))</f>
        <v>0</v>
      </c>
      <c r="L43" s="18" t="s">
        <v>19</v>
      </c>
    </row>
    <row r="44" customFormat="false" ht="19.5" hidden="false" customHeight="true" outlineLevel="0" collapsed="false">
      <c r="A44" s="12" t="s">
        <v>273</v>
      </c>
      <c r="B44" s="13"/>
      <c r="C44" s="14" t="str">
        <f aca="false">IF(B44="","",TEXT(B44,"mmmm"))</f>
        <v/>
      </c>
      <c r="D44" s="15"/>
      <c r="E44" s="16" t="str">
        <f aca="false">IF(D44="","",D44*$K$4)</f>
        <v/>
      </c>
      <c r="F44" s="15"/>
      <c r="G44" s="16" t="str">
        <f aca="false">IF(F44="","",F44*$K$4)</f>
        <v/>
      </c>
      <c r="H44" s="17" t="n">
        <f aca="false">IF(L44="Inactive",0,IF(F44&gt;D44,F44-D44,0))</f>
        <v>0</v>
      </c>
      <c r="I44" s="16" t="n">
        <f aca="false">IF(L44="Inactive",0,IF(G44&gt;E44,G44-E44,0))</f>
        <v>0</v>
      </c>
      <c r="J44" s="17" t="n">
        <f aca="false">IF(L44="Inactive",0,IF(D44&gt;F44,D44-F44,0))</f>
        <v>0</v>
      </c>
      <c r="K44" s="16" t="n">
        <f aca="false">IF(L44="Inactive",0,IF(E44&gt;G44,E44-G44,0))</f>
        <v>0</v>
      </c>
      <c r="L44" s="18" t="s">
        <v>19</v>
      </c>
    </row>
    <row r="45" customFormat="false" ht="19.5" hidden="false" customHeight="true" outlineLevel="0" collapsed="false">
      <c r="A45" s="19" t="s">
        <v>274</v>
      </c>
      <c r="B45" s="13"/>
      <c r="C45" s="20" t="str">
        <f aca="false">IF(B45="","",TEXT(B45,"mmmm"))</f>
        <v/>
      </c>
      <c r="D45" s="15"/>
      <c r="E45" s="21" t="str">
        <f aca="false">IF(D45="","",D45*$K$4)</f>
        <v/>
      </c>
      <c r="F45" s="15"/>
      <c r="G45" s="21" t="str">
        <f aca="false">IF(F45="","",F45*$K$4)</f>
        <v/>
      </c>
      <c r="H45" s="22" t="n">
        <f aca="false">IF(L45="Inactive",0,IF(F45&gt;D45,F45-D45,0))</f>
        <v>0</v>
      </c>
      <c r="I45" s="21" t="n">
        <f aca="false">IF(L45="Inactive",0,IF(G45&gt;E45,G45-E45,0))</f>
        <v>0</v>
      </c>
      <c r="J45" s="22" t="n">
        <f aca="false">IF(L45="Inactive",0,IF(D45&gt;F45,D45-F45,0))</f>
        <v>0</v>
      </c>
      <c r="K45" s="21" t="n">
        <f aca="false">IF(L45="Inactive",0,IF(E45&gt;G45,E45-G45,0))</f>
        <v>0</v>
      </c>
      <c r="L45" s="18" t="s">
        <v>19</v>
      </c>
    </row>
    <row r="46" customFormat="false" ht="19.5" hidden="false" customHeight="true" outlineLevel="0" collapsed="false">
      <c r="A46" s="12" t="s">
        <v>275</v>
      </c>
      <c r="B46" s="13"/>
      <c r="C46" s="14" t="str">
        <f aca="false">IF(B46="","",TEXT(B46,"mmmm"))</f>
        <v/>
      </c>
      <c r="D46" s="15"/>
      <c r="E46" s="16" t="str">
        <f aca="false">IF(D46="","",D46*$K$4)</f>
        <v/>
      </c>
      <c r="F46" s="15"/>
      <c r="G46" s="16" t="str">
        <f aca="false">IF(F46="","",F46*$K$4)</f>
        <v/>
      </c>
      <c r="H46" s="17" t="n">
        <f aca="false">IF(L46="Inactive",0,IF(F46&gt;D46,F46-D46,0))</f>
        <v>0</v>
      </c>
      <c r="I46" s="16" t="n">
        <f aca="false">IF(L46="Inactive",0,IF(G46&gt;E46,G46-E46,0))</f>
        <v>0</v>
      </c>
      <c r="J46" s="17" t="n">
        <f aca="false">IF(L46="Inactive",0,IF(D46&gt;F46,D46-F46,0))</f>
        <v>0</v>
      </c>
      <c r="K46" s="16" t="n">
        <f aca="false">IF(L46="Inactive",0,IF(E46&gt;G46,E46-G46,0))</f>
        <v>0</v>
      </c>
      <c r="L46" s="18" t="s">
        <v>19</v>
      </c>
    </row>
    <row r="47" customFormat="false" ht="19.5" hidden="false" customHeight="true" outlineLevel="0" collapsed="false">
      <c r="A47" s="19" t="s">
        <v>276</v>
      </c>
      <c r="B47" s="13"/>
      <c r="C47" s="20" t="str">
        <f aca="false">IF(B47="","",TEXT(B47,"mmmm"))</f>
        <v/>
      </c>
      <c r="D47" s="15"/>
      <c r="E47" s="21" t="str">
        <f aca="false">IF(D47="","",D47*$K$4)</f>
        <v/>
      </c>
      <c r="F47" s="15"/>
      <c r="G47" s="21" t="str">
        <f aca="false">IF(F47="","",F47*$K$4)</f>
        <v/>
      </c>
      <c r="H47" s="22" t="n">
        <f aca="false">IF(L47="Inactive",0,IF(F47&gt;D47,F47-D47,0))</f>
        <v>0</v>
      </c>
      <c r="I47" s="21" t="n">
        <f aca="false">IF(L47="Inactive",0,IF(G47&gt;E47,G47-E47,0))</f>
        <v>0</v>
      </c>
      <c r="J47" s="22" t="n">
        <f aca="false">IF(L47="Inactive",0,IF(D47&gt;F47,D47-F47,0))</f>
        <v>0</v>
      </c>
      <c r="K47" s="21" t="n">
        <f aca="false">IF(L47="Inactive",0,IF(E47&gt;G47,E47-G47,0))</f>
        <v>0</v>
      </c>
      <c r="L47" s="18" t="s">
        <v>19</v>
      </c>
    </row>
    <row r="48" customFormat="false" ht="19.5" hidden="false" customHeight="true" outlineLevel="0" collapsed="false">
      <c r="A48" s="12" t="s">
        <v>277</v>
      </c>
      <c r="B48" s="13"/>
      <c r="C48" s="14" t="str">
        <f aca="false">IF(B48="","",TEXT(B48,"mmmm"))</f>
        <v/>
      </c>
      <c r="D48" s="15"/>
      <c r="E48" s="16" t="str">
        <f aca="false">IF(D48="","",D48*$K$4)</f>
        <v/>
      </c>
      <c r="F48" s="15"/>
      <c r="G48" s="16" t="str">
        <f aca="false">IF(F48="","",F48*$K$4)</f>
        <v/>
      </c>
      <c r="H48" s="17" t="n">
        <f aca="false">IF(L48="Inactive",0,IF(F48&gt;D48,F48-D48,0))</f>
        <v>0</v>
      </c>
      <c r="I48" s="16" t="n">
        <f aca="false">IF(L48="Inactive",0,IF(G48&gt;E48,G48-E48,0))</f>
        <v>0</v>
      </c>
      <c r="J48" s="17" t="n">
        <f aca="false">IF(L48="Inactive",0,IF(D48&gt;F48,D48-F48,0))</f>
        <v>0</v>
      </c>
      <c r="K48" s="16" t="n">
        <f aca="false">IF(L48="Inactive",0,IF(E48&gt;G48,E48-G48,0))</f>
        <v>0</v>
      </c>
      <c r="L48" s="18" t="s">
        <v>19</v>
      </c>
    </row>
    <row r="49" customFormat="false" ht="19.5" hidden="false" customHeight="true" outlineLevel="0" collapsed="false">
      <c r="A49" s="19" t="s">
        <v>278</v>
      </c>
      <c r="B49" s="13"/>
      <c r="C49" s="20" t="str">
        <f aca="false">IF(B49="","",TEXT(B49,"mmmm"))</f>
        <v/>
      </c>
      <c r="D49" s="15"/>
      <c r="E49" s="21" t="str">
        <f aca="false">IF(D49="","",D49*$K$4)</f>
        <v/>
      </c>
      <c r="F49" s="15"/>
      <c r="G49" s="21" t="str">
        <f aca="false">IF(F49="","",F49*$K$4)</f>
        <v/>
      </c>
      <c r="H49" s="22" t="n">
        <f aca="false">IF(L49="Inactive",0,IF(F49&gt;D49,F49-D49,0))</f>
        <v>0</v>
      </c>
      <c r="I49" s="21" t="n">
        <f aca="false">IF(L49="Inactive",0,IF(G49&gt;E49,G49-E49,0))</f>
        <v>0</v>
      </c>
      <c r="J49" s="22" t="n">
        <f aca="false">IF(L49="Inactive",0,IF(D49&gt;F49,D49-F49,0))</f>
        <v>0</v>
      </c>
      <c r="K49" s="21" t="n">
        <f aca="false">IF(L49="Inactive",0,IF(E49&gt;G49,E49-G49,0))</f>
        <v>0</v>
      </c>
      <c r="L49" s="18" t="s">
        <v>19</v>
      </c>
    </row>
    <row r="50" customFormat="false" ht="19.5" hidden="false" customHeight="true" outlineLevel="0" collapsed="false">
      <c r="A50" s="12" t="s">
        <v>279</v>
      </c>
      <c r="B50" s="13"/>
      <c r="C50" s="14" t="str">
        <f aca="false">IF(B50="","",TEXT(B50,"mmmm"))</f>
        <v/>
      </c>
      <c r="D50" s="15"/>
      <c r="E50" s="16" t="str">
        <f aca="false">IF(D50="","",D50*$K$4)</f>
        <v/>
      </c>
      <c r="F50" s="15"/>
      <c r="G50" s="16" t="str">
        <f aca="false">IF(F50="","",F50*$K$4)</f>
        <v/>
      </c>
      <c r="H50" s="17" t="n">
        <f aca="false">IF(L50="Inactive",0,IF(F50&gt;D50,F50-D50,0))</f>
        <v>0</v>
      </c>
      <c r="I50" s="16" t="n">
        <f aca="false">IF(L50="Inactive",0,IF(G50&gt;E50,G50-E50,0))</f>
        <v>0</v>
      </c>
      <c r="J50" s="17" t="n">
        <f aca="false">IF(L50="Inactive",0,IF(D50&gt;F50,D50-F50,0))</f>
        <v>0</v>
      </c>
      <c r="K50" s="16" t="n">
        <f aca="false">IF(L50="Inactive",0,IF(E50&gt;G50,E50-G50,0))</f>
        <v>0</v>
      </c>
      <c r="L50" s="18" t="s">
        <v>19</v>
      </c>
    </row>
    <row r="51" customFormat="false" ht="19.5" hidden="false" customHeight="true" outlineLevel="0" collapsed="false">
      <c r="A51" s="19" t="s">
        <v>280</v>
      </c>
      <c r="B51" s="13"/>
      <c r="C51" s="20" t="str">
        <f aca="false">IF(B51="","",TEXT(B51,"mmmm"))</f>
        <v/>
      </c>
      <c r="D51" s="15"/>
      <c r="E51" s="21" t="str">
        <f aca="false">IF(D51="","",D51*$K$4)</f>
        <v/>
      </c>
      <c r="F51" s="15"/>
      <c r="G51" s="21" t="str">
        <f aca="false">IF(F51="","",F51*$K$4)</f>
        <v/>
      </c>
      <c r="H51" s="22" t="n">
        <f aca="false">IF(L51="Inactive",0,IF(F51&gt;D51,F51-D51,0))</f>
        <v>0</v>
      </c>
      <c r="I51" s="21" t="n">
        <f aca="false">IF(L51="Inactive",0,IF(G51&gt;E51,G51-E51,0))</f>
        <v>0</v>
      </c>
      <c r="J51" s="22" t="n">
        <f aca="false">IF(L51="Inactive",0,IF(D51&gt;F51,D51-F51,0))</f>
        <v>0</v>
      </c>
      <c r="K51" s="21" t="n">
        <f aca="false">IF(L51="Inactive",0,IF(E51&gt;G51,E51-G51,0))</f>
        <v>0</v>
      </c>
      <c r="L51" s="18" t="s">
        <v>19</v>
      </c>
    </row>
    <row r="52" customFormat="false" ht="19.5" hidden="false" customHeight="true" outlineLevel="0" collapsed="false">
      <c r="A52" s="12" t="s">
        <v>281</v>
      </c>
      <c r="B52" s="13"/>
      <c r="C52" s="14" t="str">
        <f aca="false">IF(B52="","",TEXT(B52,"mmmm"))</f>
        <v/>
      </c>
      <c r="D52" s="15"/>
      <c r="E52" s="16" t="str">
        <f aca="false">IF(D52="","",D52*$K$4)</f>
        <v/>
      </c>
      <c r="F52" s="15"/>
      <c r="G52" s="16" t="str">
        <f aca="false">IF(F52="","",F52*$K$4)</f>
        <v/>
      </c>
      <c r="H52" s="17" t="n">
        <f aca="false">IF(L52="Inactive",0,IF(F52&gt;D52,F52-D52,0))</f>
        <v>0</v>
      </c>
      <c r="I52" s="16" t="n">
        <f aca="false">IF(L52="Inactive",0,IF(G52&gt;E52,G52-E52,0))</f>
        <v>0</v>
      </c>
      <c r="J52" s="17" t="n">
        <f aca="false">IF(L52="Inactive",0,IF(D52&gt;F52,D52-F52,0))</f>
        <v>0</v>
      </c>
      <c r="K52" s="16" t="n">
        <f aca="false">IF(L52="Inactive",0,IF(E52&gt;G52,E52-G52,0))</f>
        <v>0</v>
      </c>
      <c r="L52" s="18" t="s">
        <v>19</v>
      </c>
    </row>
    <row r="53" customFormat="false" ht="19.5" hidden="false" customHeight="true" outlineLevel="0" collapsed="false">
      <c r="A53" s="19" t="s">
        <v>282</v>
      </c>
      <c r="B53" s="13"/>
      <c r="C53" s="20" t="str">
        <f aca="false">IF(B53="","",TEXT(B53,"mmmm"))</f>
        <v/>
      </c>
      <c r="D53" s="15"/>
      <c r="E53" s="21" t="str">
        <f aca="false">IF(D53="","",D53*$K$4)</f>
        <v/>
      </c>
      <c r="F53" s="15"/>
      <c r="G53" s="21" t="str">
        <f aca="false">IF(F53="","",F53*$K$4)</f>
        <v/>
      </c>
      <c r="H53" s="22" t="n">
        <f aca="false">IF(L53="Inactive",0,IF(F53&gt;D53,F53-D53,0))</f>
        <v>0</v>
      </c>
      <c r="I53" s="21" t="n">
        <f aca="false">IF(L53="Inactive",0,IF(G53&gt;E53,G53-E53,0))</f>
        <v>0</v>
      </c>
      <c r="J53" s="22" t="n">
        <f aca="false">IF(L53="Inactive",0,IF(D53&gt;F53,D53-F53,0))</f>
        <v>0</v>
      </c>
      <c r="K53" s="21" t="n">
        <f aca="false">IF(L53="Inactive",0,IF(E53&gt;G53,E53-G53,0))</f>
        <v>0</v>
      </c>
      <c r="L53" s="18" t="s">
        <v>19</v>
      </c>
    </row>
    <row r="54" customFormat="false" ht="19.5" hidden="false" customHeight="true" outlineLevel="0" collapsed="false">
      <c r="A54" s="12" t="s">
        <v>283</v>
      </c>
      <c r="B54" s="13"/>
      <c r="C54" s="14" t="str">
        <f aca="false">IF(B54="","",TEXT(B54,"mmmm"))</f>
        <v/>
      </c>
      <c r="D54" s="15"/>
      <c r="E54" s="16" t="str">
        <f aca="false">IF(D54="","",D54*$K$4)</f>
        <v/>
      </c>
      <c r="F54" s="15"/>
      <c r="G54" s="16" t="str">
        <f aca="false">IF(F54="","",F54*$K$4)</f>
        <v/>
      </c>
      <c r="H54" s="17" t="n">
        <f aca="false">IF(L54="Inactive",0,IF(F54&gt;D54,F54-D54,0))</f>
        <v>0</v>
      </c>
      <c r="I54" s="16" t="n">
        <f aca="false">IF(L54="Inactive",0,IF(G54&gt;E54,G54-E54,0))</f>
        <v>0</v>
      </c>
      <c r="J54" s="17" t="n">
        <f aca="false">IF(L54="Inactive",0,IF(D54&gt;F54,D54-F54,0))</f>
        <v>0</v>
      </c>
      <c r="K54" s="16" t="n">
        <f aca="false">IF(L54="Inactive",0,IF(E54&gt;G54,E54-G54,0))</f>
        <v>0</v>
      </c>
      <c r="L54" s="18" t="s">
        <v>19</v>
      </c>
    </row>
    <row r="55" customFormat="false" ht="19.5" hidden="false" customHeight="true" outlineLevel="0" collapsed="false">
      <c r="A55" s="19" t="s">
        <v>284</v>
      </c>
      <c r="B55" s="13"/>
      <c r="C55" s="20" t="str">
        <f aca="false">IF(B55="","",TEXT(B55,"mmmm"))</f>
        <v/>
      </c>
      <c r="D55" s="15"/>
      <c r="E55" s="21" t="str">
        <f aca="false">IF(D55="","",D55*$K$4)</f>
        <v/>
      </c>
      <c r="F55" s="15"/>
      <c r="G55" s="21" t="str">
        <f aca="false">IF(F55="","",F55*$K$4)</f>
        <v/>
      </c>
      <c r="H55" s="22" t="n">
        <f aca="false">IF(L55="Inactive",0,IF(F55&gt;D55,F55-D55,0))</f>
        <v>0</v>
      </c>
      <c r="I55" s="21" t="n">
        <f aca="false">IF(L55="Inactive",0,IF(G55&gt;E55,G55-E55,0))</f>
        <v>0</v>
      </c>
      <c r="J55" s="22" t="n">
        <f aca="false">IF(L55="Inactive",0,IF(D55&gt;F55,D55-F55,0))</f>
        <v>0</v>
      </c>
      <c r="K55" s="21" t="n">
        <f aca="false">IF(L55="Inactive",0,IF(E55&gt;G55,E55-G55,0))</f>
        <v>0</v>
      </c>
      <c r="L55" s="18" t="s">
        <v>19</v>
      </c>
    </row>
    <row r="56" customFormat="false" ht="19.5" hidden="false" customHeight="true" outlineLevel="0" collapsed="false">
      <c r="A56" s="12" t="s">
        <v>285</v>
      </c>
      <c r="B56" s="13"/>
      <c r="C56" s="14" t="str">
        <f aca="false">IF(B56="","",TEXT(B56,"mmmm"))</f>
        <v/>
      </c>
      <c r="D56" s="15"/>
      <c r="E56" s="16" t="str">
        <f aca="false">IF(D56="","",D56*$K$4)</f>
        <v/>
      </c>
      <c r="F56" s="15"/>
      <c r="G56" s="16" t="str">
        <f aca="false">IF(F56="","",F56*$K$4)</f>
        <v/>
      </c>
      <c r="H56" s="17" t="n">
        <f aca="false">IF(L56="Inactive",0,IF(F56&gt;D56,F56-D56,0))</f>
        <v>0</v>
      </c>
      <c r="I56" s="16" t="n">
        <f aca="false">IF(L56="Inactive",0,IF(G56&gt;E56,G56-E56,0))</f>
        <v>0</v>
      </c>
      <c r="J56" s="17" t="n">
        <f aca="false">IF(L56="Inactive",0,IF(D56&gt;F56,D56-F56,0))</f>
        <v>0</v>
      </c>
      <c r="K56" s="16" t="n">
        <f aca="false">IF(L56="Inactive",0,IF(E56&gt;G56,E56-G56,0))</f>
        <v>0</v>
      </c>
      <c r="L56" s="18" t="s">
        <v>19</v>
      </c>
    </row>
    <row r="57" customFormat="false" ht="19.5" hidden="false" customHeight="true" outlineLevel="0" collapsed="false">
      <c r="A57" s="19" t="s">
        <v>286</v>
      </c>
      <c r="B57" s="13"/>
      <c r="C57" s="20" t="str">
        <f aca="false">IF(B57="","",TEXT(B57,"mmmm"))</f>
        <v/>
      </c>
      <c r="D57" s="15"/>
      <c r="E57" s="21" t="str">
        <f aca="false">IF(D57="","",D57*$K$4)</f>
        <v/>
      </c>
      <c r="F57" s="15"/>
      <c r="G57" s="21" t="str">
        <f aca="false">IF(F57="","",F57*$K$4)</f>
        <v/>
      </c>
      <c r="H57" s="22" t="n">
        <f aca="false">IF(L57="Inactive",0,IF(F57&gt;D57,F57-D57,0))</f>
        <v>0</v>
      </c>
      <c r="I57" s="21" t="n">
        <f aca="false">IF(L57="Inactive",0,IF(G57&gt;E57,G57-E57,0))</f>
        <v>0</v>
      </c>
      <c r="J57" s="22" t="n">
        <f aca="false">IF(L57="Inactive",0,IF(D57&gt;F57,D57-F57,0))</f>
        <v>0</v>
      </c>
      <c r="K57" s="21" t="n">
        <f aca="false">IF(L57="Inactive",0,IF(E57&gt;G57,E57-G57,0))</f>
        <v>0</v>
      </c>
      <c r="L57" s="18" t="s">
        <v>19</v>
      </c>
    </row>
    <row r="58" customFormat="false" ht="24" hidden="false" customHeight="true" outlineLevel="0" collapsed="false">
      <c r="A58" s="23" t="s">
        <v>69</v>
      </c>
      <c r="B58" s="23"/>
      <c r="C58" s="23"/>
      <c r="D58" s="24" t="n">
        <f aca="false">SUM(D8:D57)</f>
        <v>0</v>
      </c>
      <c r="E58" s="24" t="n">
        <f aca="false">SUM(E8:E57)</f>
        <v>0</v>
      </c>
      <c r="F58" s="24" t="n">
        <f aca="false">SUM(F8:F57)</f>
        <v>0</v>
      </c>
      <c r="G58" s="24" t="n">
        <f aca="false">SUM(G8:G57)</f>
        <v>0</v>
      </c>
      <c r="H58" s="24" t="n">
        <f aca="false">SUM(H8:H57)</f>
        <v>0</v>
      </c>
      <c r="I58" s="24" t="n">
        <f aca="false">SUM(I8:I57)</f>
        <v>0</v>
      </c>
      <c r="J58" s="24" t="n">
        <f aca="false">SUM(J8:J57)</f>
        <v>0</v>
      </c>
      <c r="K58" s="24" t="n">
        <f aca="false">SUM(K8:K57)</f>
        <v>0</v>
      </c>
      <c r="L58" s="25"/>
    </row>
    <row r="59" customFormat="false" ht="12" hidden="false" customHeight="true" outlineLevel="0" collapsed="false"/>
    <row r="60" customFormat="false" ht="13.5" hidden="false" customHeight="true" outlineLevel="0" collapsed="false">
      <c r="A60" s="26" t="s">
        <v>70</v>
      </c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</row>
    <row r="61" customFormat="false" ht="18" hidden="false" customHeight="true" outlineLevel="0" collapsed="false">
      <c r="A61" s="27" t="s">
        <v>71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</row>
    <row r="62" customFormat="false" ht="27.75" hidden="false" customHeight="true" outlineLevel="0" collapsed="false">
      <c r="A62" s="28" t="s">
        <v>72</v>
      </c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</row>
    <row r="63" customFormat="false" ht="18" hidden="false" customHeight="true" outlineLevel="0" collapsed="false">
      <c r="A63" s="27" t="s">
        <v>73</v>
      </c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</row>
    <row r="64" customFormat="false" ht="27.75" hidden="false" customHeight="true" outlineLevel="0" collapsed="false">
      <c r="A64" s="28" t="s">
        <v>74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</row>
    <row r="65" customFormat="false" ht="18" hidden="false" customHeight="true" outlineLevel="0" collapsed="false">
      <c r="A65" s="27" t="s">
        <v>75</v>
      </c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</row>
    <row r="66" customFormat="false" ht="27.75" hidden="false" customHeight="true" outlineLevel="0" collapsed="false">
      <c r="A66" s="28" t="s">
        <v>76</v>
      </c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</row>
    <row r="67" customFormat="false" ht="18" hidden="false" customHeight="true" outlineLevel="0" collapsed="false">
      <c r="A67" s="27" t="s">
        <v>77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</row>
    <row r="68" customFormat="false" ht="27.75" hidden="false" customHeight="true" outlineLevel="0" collapsed="false">
      <c r="A68" s="28" t="s">
        <v>78</v>
      </c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</row>
    <row r="69" customFormat="false" ht="18" hidden="false" customHeight="true" outlineLevel="0" collapsed="false">
      <c r="A69" s="27" t="s">
        <v>79</v>
      </c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</row>
    <row r="70" customFormat="false" ht="27.75" hidden="false" customHeight="true" outlineLevel="0" collapsed="false">
      <c r="A70" s="28" t="s">
        <v>80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</row>
    <row r="71" customFormat="false" ht="18" hidden="false" customHeight="true" outlineLevel="0" collapsed="false">
      <c r="A71" s="27" t="s">
        <v>81</v>
      </c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</row>
    <row r="72" customFormat="false" ht="27.75" hidden="false" customHeight="true" outlineLevel="0" collapsed="false">
      <c r="A72" s="28" t="s">
        <v>82</v>
      </c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</row>
  </sheetData>
  <mergeCells count="18">
    <mergeCell ref="A1:L3"/>
    <mergeCell ref="A4:I4"/>
    <mergeCell ref="A5:B5"/>
    <mergeCell ref="C5:D5"/>
    <mergeCell ref="A58:C58"/>
    <mergeCell ref="A60:L60"/>
    <mergeCell ref="A61:L61"/>
    <mergeCell ref="A62:L62"/>
    <mergeCell ref="A63:L63"/>
    <mergeCell ref="A64:L64"/>
    <mergeCell ref="A65:L65"/>
    <mergeCell ref="A66:L66"/>
    <mergeCell ref="A67:L67"/>
    <mergeCell ref="A68:L68"/>
    <mergeCell ref="A69:L69"/>
    <mergeCell ref="A70:L70"/>
    <mergeCell ref="A71:L71"/>
    <mergeCell ref="A72:L72"/>
  </mergeCells>
  <conditionalFormatting sqref="L8:L57">
    <cfRule type="cellIs" priority="2" operator="equal" aboveAverage="0" equalAverage="0" bottom="0" percent="0" rank="0" text="" dxfId="0">
      <formula>"Active"</formula>
    </cfRule>
    <cfRule type="cellIs" priority="3" operator="equal" aboveAverage="0" equalAverage="0" bottom="0" percent="0" rank="0" text="" dxfId="1">
      <formula>"Inactive"</formula>
    </cfRule>
  </conditionalFormatting>
  <dataValidations count="2">
    <dataValidation allowBlank="true" error="Invalid Product ID" errorStyle="stop" errorTitle="Selection Error" operator="between" prompt="Choose a Product ID" promptTitle="Quick-View Lookup" showDropDown="false" showErrorMessage="false" showInputMessage="false" sqref="C5" type="list">
      <formula1>"MHA1,MHA2,MHA3,MHA4,MHA5,MHA6,MHA7,MHA8,MHA9,MHA10,MHA11,MHA12,MHA13,MHA14,MHA15,MHA16,MHA17,MHA18,MHA19,MHA20,MHA21,MHA22,MHA23,MHA24,MHA25,MHA26,MHA27,MHA28,MHA29,MHA30,MHA31,MHA32,MHA33,MHA34,MHA35,MHA36,MHA37,MHA38,MHA39,MHA40,MHA41,MHA42,MHA43,MHA44"</formula1>
      <formula2>0</formula2>
    </dataValidation>
    <dataValidation allowBlank="false" error="Please choose Active or Inactive" errorStyle="stop" errorTitle="Invalid Entry" operator="between" prompt="Select stock status" promptTitle="Stock Status" showDropDown="false" showErrorMessage="false" showInputMessage="false" sqref="L8:L57" type="list">
      <formula1>"Active,Inactive"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1" width="22"/>
    <col collapsed="false" customWidth="true" hidden="false" outlineLevel="0" max="5" min="5" style="1" width="4"/>
    <col collapsed="false" customWidth="true" hidden="false" outlineLevel="0" max="6" min="6" style="1" width="28"/>
    <col collapsed="false" customWidth="true" hidden="false" outlineLevel="0" max="7" min="7" style="1" width="4"/>
    <col collapsed="false" customWidth="true" hidden="false" outlineLevel="0" max="8" min="8" style="1" width="22"/>
    <col collapsed="false" customWidth="true" hidden="false" outlineLevel="0" max="9" min="9" style="1" width="4"/>
    <col collapsed="false" customWidth="true" hidden="false" outlineLevel="0" max="10" min="10" style="1" width="22"/>
  </cols>
  <sheetData>
    <row r="1" customFormat="false" ht="9.75" hidden="false" customHeight="true" outlineLevel="0" collapsed="false">
      <c r="A1" s="29" t="s">
        <v>287</v>
      </c>
      <c r="B1" s="29"/>
      <c r="C1" s="29"/>
      <c r="D1" s="29"/>
      <c r="E1" s="29"/>
      <c r="F1" s="29"/>
      <c r="G1" s="29"/>
      <c r="H1" s="29"/>
      <c r="I1" s="29"/>
      <c r="J1" s="29"/>
    </row>
    <row r="2" customFormat="false" ht="39.75" hidden="false" customHeight="true" outlineLevel="0" collapsed="false">
      <c r="A2" s="29"/>
      <c r="B2" s="29"/>
      <c r="C2" s="29"/>
      <c r="D2" s="29"/>
      <c r="E2" s="29"/>
      <c r="F2" s="29"/>
      <c r="G2" s="29"/>
      <c r="H2" s="29"/>
      <c r="I2" s="29"/>
      <c r="J2" s="29"/>
    </row>
    <row r="3" customFormat="false" ht="9.75" hidden="false" customHeight="true" outlineLevel="0" collapsed="false">
      <c r="A3" s="29"/>
      <c r="B3" s="29"/>
      <c r="C3" s="29"/>
      <c r="D3" s="29"/>
      <c r="E3" s="29"/>
      <c r="F3" s="29"/>
      <c r="G3" s="29"/>
      <c r="H3" s="29"/>
      <c r="I3" s="29"/>
      <c r="J3" s="29"/>
    </row>
    <row r="4" customFormat="false" ht="21.75" hidden="false" customHeight="true" outlineLevel="0" collapsed="false">
      <c r="A4" s="30" t="s">
        <v>288</v>
      </c>
      <c r="B4" s="30"/>
      <c r="C4" s="30"/>
      <c r="D4" s="30"/>
      <c r="F4" s="30" t="s">
        <v>289</v>
      </c>
      <c r="G4" s="30"/>
      <c r="H4" s="30"/>
      <c r="I4" s="30"/>
      <c r="J4" s="30"/>
    </row>
    <row r="5" customFormat="false" ht="21.75" hidden="false" customHeight="true" outlineLevel="0" collapsed="false">
      <c r="A5" s="11" t="s">
        <v>290</v>
      </c>
      <c r="B5" s="11" t="s">
        <v>291</v>
      </c>
      <c r="C5" s="11" t="s">
        <v>292</v>
      </c>
      <c r="D5" s="11" t="s">
        <v>293</v>
      </c>
      <c r="F5" s="31" t="s">
        <v>294</v>
      </c>
      <c r="G5" s="31"/>
      <c r="H5" s="31"/>
      <c r="I5" s="31"/>
      <c r="J5" s="31"/>
    </row>
    <row r="6" customFormat="false" ht="21.75" hidden="false" customHeight="true" outlineLevel="0" collapsed="false">
      <c r="A6" s="32" t="s">
        <v>295</v>
      </c>
      <c r="B6" s="33" t="n">
        <f aca="false">'One Piece'!D58</f>
        <v>0</v>
      </c>
      <c r="C6" s="33" t="n">
        <f aca="false">'One Piece'!H58</f>
        <v>0</v>
      </c>
      <c r="D6" s="33" t="n">
        <f aca="false">'One Piece'!J58</f>
        <v>0</v>
      </c>
      <c r="F6" s="34" t="str">
        <f aca="false">IFERROR(C11/(B11+C11),"No Data")</f>
        <v>No Data</v>
      </c>
      <c r="G6" s="34"/>
      <c r="H6" s="34"/>
      <c r="I6" s="34"/>
      <c r="J6" s="34"/>
    </row>
    <row r="7" customFormat="false" ht="21.75" hidden="false" customHeight="true" outlineLevel="0" collapsed="false">
      <c r="A7" s="35" t="s">
        <v>296</v>
      </c>
      <c r="B7" s="36" t="n">
        <f aca="false">'Dragon Ball Z'!D58</f>
        <v>0</v>
      </c>
      <c r="C7" s="36" t="n">
        <f aca="false">'Dragon Ball Z'!H58</f>
        <v>0</v>
      </c>
      <c r="D7" s="36" t="n">
        <f aca="false">'Dragon Ball Z'!J58</f>
        <v>0</v>
      </c>
      <c r="F7" s="34"/>
      <c r="G7" s="34"/>
      <c r="H7" s="34"/>
      <c r="I7" s="34"/>
      <c r="J7" s="34"/>
    </row>
    <row r="8" customFormat="false" ht="21.75" hidden="false" customHeight="true" outlineLevel="0" collapsed="false">
      <c r="A8" s="37" t="s">
        <v>297</v>
      </c>
      <c r="B8" s="38" t="n">
        <f aca="false">Naruto!D58</f>
        <v>0</v>
      </c>
      <c r="C8" s="38" t="n">
        <f aca="false">Naruto!H58</f>
        <v>0</v>
      </c>
      <c r="D8" s="38" t="n">
        <f aca="false">Naruto!J58</f>
        <v>0</v>
      </c>
      <c r="F8" s="34"/>
      <c r="G8" s="34"/>
      <c r="H8" s="34"/>
      <c r="I8" s="34"/>
      <c r="J8" s="34"/>
    </row>
    <row r="9" customFormat="false" ht="21.75" hidden="false" customHeight="true" outlineLevel="0" collapsed="false">
      <c r="A9" s="39" t="s">
        <v>298</v>
      </c>
      <c r="B9" s="40" t="n">
        <f aca="false">Bleach!D58</f>
        <v>0</v>
      </c>
      <c r="C9" s="40" t="n">
        <f aca="false">Bleach!H58</f>
        <v>0</v>
      </c>
      <c r="D9" s="40" t="n">
        <f aca="false">Bleach!J58</f>
        <v>0</v>
      </c>
      <c r="F9" s="41" t="s">
        <v>299</v>
      </c>
      <c r="G9" s="41"/>
      <c r="H9" s="41"/>
      <c r="I9" s="41"/>
      <c r="J9" s="41"/>
    </row>
    <row r="10" customFormat="false" ht="21.75" hidden="false" customHeight="true" outlineLevel="0" collapsed="false">
      <c r="A10" s="42" t="s">
        <v>300</v>
      </c>
      <c r="B10" s="43" t="n">
        <f aca="false">'My Hero Academia'!D58</f>
        <v>0</v>
      </c>
      <c r="C10" s="43" t="n">
        <f aca="false">'My Hero Academia'!H58</f>
        <v>0</v>
      </c>
      <c r="D10" s="43" t="n">
        <f aca="false">'My Hero Academia'!J58</f>
        <v>0</v>
      </c>
      <c r="F10" s="44" t="s">
        <v>301</v>
      </c>
      <c r="G10" s="44"/>
      <c r="H10" s="44"/>
      <c r="I10" s="44"/>
      <c r="J10" s="44"/>
    </row>
    <row r="11" customFormat="false" ht="25.5" hidden="false" customHeight="true" outlineLevel="0" collapsed="false">
      <c r="A11" s="45" t="s">
        <v>302</v>
      </c>
      <c r="B11" s="46" t="n">
        <f aca="false">SUM(B6:B10)</f>
        <v>0</v>
      </c>
      <c r="C11" s="46" t="n">
        <f aca="false">SUM(C6:C10)</f>
        <v>0</v>
      </c>
      <c r="D11" s="46" t="n">
        <f aca="false">SUM(D6:D10)</f>
        <v>0</v>
      </c>
      <c r="F11" s="47" t="str">
        <f aca="false">IFERROR(INDEX(A6:A10,MATCH(MAX(C6:C10),C6:C10,0)),"No Data")</f>
        <v>One Piece</v>
      </c>
      <c r="G11" s="47"/>
      <c r="H11" s="47"/>
      <c r="I11" s="47"/>
      <c r="J11" s="47"/>
    </row>
    <row r="12" customFormat="false" ht="21.75" hidden="false" customHeight="true" outlineLevel="0" collapsed="false">
      <c r="F12" s="47"/>
      <c r="G12" s="47"/>
      <c r="H12" s="47"/>
      <c r="I12" s="47"/>
      <c r="J12" s="47"/>
    </row>
    <row r="13" customFormat="false" ht="21.75" hidden="false" customHeight="true" outlineLevel="0" collapsed="false">
      <c r="A13" s="48" t="s">
        <v>303</v>
      </c>
      <c r="B13" s="48"/>
      <c r="C13" s="48"/>
      <c r="D13" s="48"/>
      <c r="F13" s="47"/>
      <c r="G13" s="47"/>
      <c r="H13" s="47"/>
      <c r="I13" s="47"/>
      <c r="J13" s="47"/>
    </row>
    <row r="14" customFormat="false" ht="24" hidden="false" customHeight="true" outlineLevel="0" collapsed="false">
      <c r="A14" s="49" t="s">
        <v>304</v>
      </c>
      <c r="B14" s="50" t="n">
        <f aca="false">B11</f>
        <v>0</v>
      </c>
      <c r="C14" s="50"/>
      <c r="D14" s="50"/>
      <c r="F14" s="51" t="s">
        <v>305</v>
      </c>
      <c r="G14" s="51"/>
      <c r="H14" s="51"/>
      <c r="I14" s="51"/>
      <c r="J14" s="51"/>
    </row>
    <row r="15" customFormat="false" ht="24" hidden="false" customHeight="true" outlineLevel="0" collapsed="false">
      <c r="A15" s="49" t="s">
        <v>306</v>
      </c>
      <c r="B15" s="50" t="n">
        <f aca="false">C11</f>
        <v>0</v>
      </c>
      <c r="C15" s="50"/>
      <c r="D15" s="50"/>
    </row>
    <row r="16" customFormat="false" ht="24" hidden="false" customHeight="true" outlineLevel="0" collapsed="false">
      <c r="A16" s="49" t="s">
        <v>307</v>
      </c>
      <c r="B16" s="50" t="n">
        <f aca="false">D11</f>
        <v>0</v>
      </c>
      <c r="C16" s="50"/>
      <c r="D16" s="50"/>
    </row>
    <row r="17" customFormat="false" ht="24" hidden="false" customHeight="true" outlineLevel="0" collapsed="false">
      <c r="A17" s="49" t="s">
        <v>308</v>
      </c>
      <c r="B17" s="50" t="n">
        <f aca="false">C11-D11</f>
        <v>0</v>
      </c>
      <c r="C17" s="50"/>
      <c r="D17" s="50"/>
    </row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>
      <c r="A20" s="30" t="s">
        <v>309</v>
      </c>
      <c r="B20" s="30"/>
      <c r="C20" s="30"/>
      <c r="D20" s="30"/>
      <c r="E20" s="30"/>
      <c r="F20" s="30"/>
      <c r="G20" s="30"/>
      <c r="H20" s="30"/>
      <c r="I20" s="30"/>
      <c r="J20" s="30"/>
    </row>
    <row r="21" customFormat="false" ht="21.75" hidden="false" customHeight="true" outlineLevel="0" collapsed="false">
      <c r="A21" s="28" t="s">
        <v>310</v>
      </c>
      <c r="B21" s="28"/>
      <c r="C21" s="28"/>
      <c r="D21" s="28"/>
      <c r="E21" s="28"/>
      <c r="F21" s="28"/>
      <c r="G21" s="28"/>
      <c r="H21" s="28"/>
      <c r="I21" s="28"/>
      <c r="J21" s="28"/>
    </row>
    <row r="22" customFormat="false" ht="21.75" hidden="false" customHeight="true" outlineLevel="0" collapsed="false">
      <c r="A22" s="52" t="s">
        <v>311</v>
      </c>
      <c r="B22" s="52"/>
      <c r="C22" s="52"/>
      <c r="D22" s="52"/>
      <c r="E22" s="52"/>
      <c r="F22" s="52"/>
      <c r="G22" s="52"/>
      <c r="H22" s="52"/>
      <c r="I22" s="52"/>
      <c r="J22" s="52"/>
    </row>
    <row r="23" customFormat="false" ht="21.75" hidden="false" customHeight="true" outlineLevel="0" collapsed="false">
      <c r="A23" s="28" t="s">
        <v>312</v>
      </c>
      <c r="B23" s="28"/>
      <c r="C23" s="28"/>
      <c r="D23" s="28"/>
      <c r="E23" s="28"/>
      <c r="F23" s="28"/>
      <c r="G23" s="28"/>
      <c r="H23" s="28"/>
      <c r="I23" s="28"/>
      <c r="J23" s="28"/>
    </row>
    <row r="24" customFormat="false" ht="21.75" hidden="false" customHeight="true" outlineLevel="0" collapsed="false">
      <c r="A24" s="52" t="s">
        <v>313</v>
      </c>
      <c r="B24" s="52"/>
      <c r="C24" s="52"/>
      <c r="D24" s="52"/>
      <c r="E24" s="52"/>
      <c r="F24" s="52"/>
      <c r="G24" s="52"/>
      <c r="H24" s="52"/>
      <c r="I24" s="52"/>
      <c r="J24" s="52"/>
    </row>
    <row r="25" customFormat="false" ht="21.75" hidden="false" customHeight="true" outlineLevel="0" collapsed="false">
      <c r="A25" s="28" t="s">
        <v>314</v>
      </c>
      <c r="B25" s="28"/>
      <c r="C25" s="28"/>
      <c r="D25" s="28"/>
      <c r="E25" s="28"/>
      <c r="F25" s="28"/>
      <c r="G25" s="28"/>
      <c r="H25" s="28"/>
      <c r="I25" s="28"/>
      <c r="J25" s="28"/>
    </row>
    <row r="26" customFormat="false" ht="21.75" hidden="false" customHeight="true" outlineLevel="0" collapsed="false">
      <c r="A26" s="52" t="s">
        <v>315</v>
      </c>
      <c r="B26" s="52"/>
      <c r="C26" s="52"/>
      <c r="D26" s="52"/>
      <c r="E26" s="52"/>
      <c r="F26" s="52"/>
      <c r="G26" s="52"/>
      <c r="H26" s="52"/>
      <c r="I26" s="52"/>
      <c r="J26" s="52"/>
    </row>
    <row r="27" customFormat="false" ht="21.75" hidden="false" customHeight="true" outlineLevel="0" collapsed="false">
      <c r="A27" s="28" t="s">
        <v>316</v>
      </c>
      <c r="B27" s="28"/>
      <c r="C27" s="28"/>
      <c r="D27" s="28"/>
      <c r="E27" s="28"/>
      <c r="F27" s="28"/>
      <c r="G27" s="28"/>
      <c r="H27" s="28"/>
      <c r="I27" s="28"/>
      <c r="J27" s="28"/>
    </row>
    <row r="28" customFormat="false" ht="21.75" hidden="false" customHeight="true" outlineLevel="0" collapsed="false">
      <c r="A28" s="52" t="s">
        <v>317</v>
      </c>
      <c r="B28" s="52"/>
      <c r="C28" s="52"/>
      <c r="D28" s="52"/>
      <c r="E28" s="52"/>
      <c r="F28" s="52"/>
      <c r="G28" s="52"/>
      <c r="H28" s="52"/>
      <c r="I28" s="52"/>
      <c r="J28" s="52"/>
    </row>
    <row r="29" customFormat="false" ht="21.75" hidden="false" customHeight="true" outlineLevel="0" collapsed="false">
      <c r="A29" s="28" t="s">
        <v>318</v>
      </c>
      <c r="B29" s="28"/>
      <c r="C29" s="28"/>
      <c r="D29" s="28"/>
      <c r="E29" s="28"/>
      <c r="F29" s="28"/>
      <c r="G29" s="28"/>
      <c r="H29" s="28"/>
      <c r="I29" s="28"/>
      <c r="J29" s="28"/>
    </row>
    <row r="30" customFormat="false" ht="21.75" hidden="false" customHeight="true" outlineLevel="0" collapsed="false">
      <c r="A30" s="52" t="s">
        <v>319</v>
      </c>
      <c r="B30" s="52"/>
      <c r="C30" s="52"/>
      <c r="D30" s="52"/>
      <c r="E30" s="52"/>
      <c r="F30" s="52"/>
      <c r="G30" s="52"/>
      <c r="H30" s="52"/>
      <c r="I30" s="52"/>
      <c r="J30" s="52"/>
    </row>
    <row r="31" customFormat="false" ht="21.75" hidden="false" customHeight="true" outlineLevel="0" collapsed="false"/>
    <row r="32" customFormat="false" ht="21.75" hidden="false" customHeight="true" outlineLevel="0" collapsed="false"/>
    <row r="33" customFormat="false" ht="21.75" hidden="false" customHeight="true" outlineLevel="0" collapsed="false"/>
    <row r="34" customFormat="false" ht="21.75" hidden="false" customHeight="true" outlineLevel="0" collapsed="false"/>
    <row r="35" customFormat="false" ht="21.75" hidden="false" customHeight="true" outlineLevel="0" collapsed="false"/>
    <row r="36" customFormat="false" ht="21.75" hidden="false" customHeight="true" outlineLevel="0" collapsed="false"/>
    <row r="37" customFormat="false" ht="21.75" hidden="false" customHeight="true" outlineLevel="0" collapsed="false"/>
    <row r="38" customFormat="false" ht="21.75" hidden="false" customHeight="true" outlineLevel="0" collapsed="false"/>
    <row r="39" customFormat="false" ht="21.75" hidden="false" customHeight="true" outlineLevel="0" collapsed="false"/>
    <row r="40" customFormat="false" ht="21.75" hidden="false" customHeight="true" outlineLevel="0" collapsed="false"/>
    <row r="41" customFormat="false" ht="21.75" hidden="false" customHeight="true" outlineLevel="0" collapsed="false"/>
    <row r="42" customFormat="false" ht="21.75" hidden="false" customHeight="true" outlineLevel="0" collapsed="false"/>
    <row r="43" customFormat="false" ht="21.75" hidden="false" customHeight="true" outlineLevel="0" collapsed="false"/>
    <row r="44" customFormat="false" ht="21.75" hidden="false" customHeight="true" outlineLevel="0" collapsed="false"/>
    <row r="45" customFormat="false" ht="21.75" hidden="false" customHeight="true" outlineLevel="0" collapsed="false"/>
    <row r="46" customFormat="false" ht="21.75" hidden="false" customHeight="true" outlineLevel="0" collapsed="false"/>
    <row r="47" customFormat="false" ht="21.75" hidden="false" customHeight="true" outlineLevel="0" collapsed="false"/>
    <row r="48" customFormat="false" ht="21.75" hidden="false" customHeight="true" outlineLevel="0" collapsed="false"/>
    <row r="49" customFormat="false" ht="21.75" hidden="false" customHeight="true" outlineLevel="0" collapsed="false"/>
  </sheetData>
  <mergeCells count="25">
    <mergeCell ref="A1:J3"/>
    <mergeCell ref="A4:D4"/>
    <mergeCell ref="F4:J4"/>
    <mergeCell ref="F5:J5"/>
    <mergeCell ref="F6:J8"/>
    <mergeCell ref="F9:J9"/>
    <mergeCell ref="F10:J10"/>
    <mergeCell ref="F11:J13"/>
    <mergeCell ref="A13:D13"/>
    <mergeCell ref="B14:D14"/>
    <mergeCell ref="F14:J14"/>
    <mergeCell ref="B15:D15"/>
    <mergeCell ref="B16:D16"/>
    <mergeCell ref="B17:D17"/>
    <mergeCell ref="A20:J20"/>
    <mergeCell ref="A21:J21"/>
    <mergeCell ref="A22:J22"/>
    <mergeCell ref="A23:J23"/>
    <mergeCell ref="A24:J24"/>
    <mergeCell ref="A25:J25"/>
    <mergeCell ref="A26:J26"/>
    <mergeCell ref="A27:J27"/>
    <mergeCell ref="A28:J28"/>
    <mergeCell ref="A29:J29"/>
    <mergeCell ref="A30:J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5.75" hidden="false" customHeight="true" outlineLevel="0" collapsed="false">
      <c r="A1" s="53" t="s">
        <v>320</v>
      </c>
    </row>
    <row r="2" customFormat="false" ht="15.75" hidden="false" customHeight="true" outlineLevel="0" collapsed="false">
      <c r="A2" s="53"/>
    </row>
    <row r="3" customFormat="false" ht="15.75" hidden="false" customHeight="true" outlineLevel="0" collapsed="false">
      <c r="A3" s="53"/>
    </row>
    <row r="4" customFormat="false" ht="15.75" hidden="false" customHeight="true" outlineLevel="0" collapsed="false">
      <c r="A4" s="54" t="s">
        <v>321</v>
      </c>
    </row>
    <row r="5" customFormat="false" ht="15.75" hidden="false" customHeight="true" outlineLevel="0" collapsed="false">
      <c r="A5" s="55" t="s">
        <v>322</v>
      </c>
    </row>
    <row r="6" customFormat="false" ht="15.75" hidden="false" customHeight="true" outlineLevel="0" collapsed="false">
      <c r="A6" s="56"/>
    </row>
    <row r="7" customFormat="false" ht="15.75" hidden="false" customHeight="true" outlineLevel="0" collapsed="false">
      <c r="A7" s="57" t="s">
        <v>323</v>
      </c>
    </row>
    <row r="8" customFormat="false" ht="15.75" hidden="false" customHeight="true" outlineLevel="0" collapsed="false">
      <c r="A8" s="58" t="s">
        <v>324</v>
      </c>
    </row>
    <row r="9" customFormat="false" ht="15.75" hidden="false" customHeight="true" outlineLevel="0" collapsed="false">
      <c r="A9" s="58" t="s">
        <v>325</v>
      </c>
    </row>
    <row r="10" customFormat="false" ht="15.75" hidden="false" customHeight="true" outlineLevel="0" collapsed="false">
      <c r="A10" s="58" t="s">
        <v>326</v>
      </c>
    </row>
    <row r="11" customFormat="false" ht="15.75" hidden="false" customHeight="true" outlineLevel="0" collapsed="false">
      <c r="A11" s="58" t="s">
        <v>324</v>
      </c>
    </row>
    <row r="12" customFormat="false" ht="15.75" hidden="false" customHeight="true" outlineLevel="0" collapsed="false">
      <c r="A12" s="59" t="s">
        <v>327</v>
      </c>
    </row>
    <row r="13" customFormat="false" ht="15.75" hidden="false" customHeight="true" outlineLevel="0" collapsed="false">
      <c r="A13" s="59" t="s">
        <v>328</v>
      </c>
    </row>
    <row r="14" customFormat="false" ht="15.75" hidden="false" customHeight="true" outlineLevel="0" collapsed="false">
      <c r="A14" s="59" t="s">
        <v>329</v>
      </c>
    </row>
    <row r="15" customFormat="false" ht="15.75" hidden="false" customHeight="true" outlineLevel="0" collapsed="false">
      <c r="A15" s="59" t="s">
        <v>330</v>
      </c>
    </row>
    <row r="16" customFormat="false" ht="15.75" hidden="false" customHeight="true" outlineLevel="0" collapsed="false">
      <c r="A16" s="59" t="s">
        <v>331</v>
      </c>
    </row>
    <row r="17" customFormat="false" ht="15.75" hidden="false" customHeight="true" outlineLevel="0" collapsed="false">
      <c r="A17" s="59" t="s">
        <v>332</v>
      </c>
    </row>
    <row r="18" customFormat="false" ht="15.75" hidden="false" customHeight="true" outlineLevel="0" collapsed="false">
      <c r="A18" s="59" t="s">
        <v>333</v>
      </c>
    </row>
    <row r="19" customFormat="false" ht="15.75" hidden="false" customHeight="true" outlineLevel="0" collapsed="false">
      <c r="A19" s="59" t="s">
        <v>331</v>
      </c>
    </row>
    <row r="20" customFormat="false" ht="15.75" hidden="false" customHeight="true" outlineLevel="0" collapsed="false">
      <c r="A20" s="58" t="s">
        <v>334</v>
      </c>
    </row>
    <row r="21" customFormat="false" ht="15.75" hidden="false" customHeight="true" outlineLevel="0" collapsed="false">
      <c r="A21" s="59" t="s">
        <v>335</v>
      </c>
    </row>
    <row r="22" customFormat="false" ht="15.75" hidden="false" customHeight="true" outlineLevel="0" collapsed="false">
      <c r="A22" s="59" t="s">
        <v>336</v>
      </c>
    </row>
    <row r="23" customFormat="false" ht="15.75" hidden="false" customHeight="true" outlineLevel="0" collapsed="false">
      <c r="A23" s="59" t="s">
        <v>337</v>
      </c>
    </row>
    <row r="24" customFormat="false" ht="15.75" hidden="false" customHeight="true" outlineLevel="0" collapsed="false">
      <c r="A24" s="59" t="s">
        <v>338</v>
      </c>
    </row>
    <row r="25" customFormat="false" ht="15.75" hidden="false" customHeight="true" outlineLevel="0" collapsed="false">
      <c r="A25" s="59" t="s">
        <v>331</v>
      </c>
    </row>
    <row r="26" customFormat="false" ht="15.75" hidden="false" customHeight="true" outlineLevel="0" collapsed="false">
      <c r="A26" s="58" t="s">
        <v>339</v>
      </c>
    </row>
    <row r="27" customFormat="false" ht="15.75" hidden="false" customHeight="true" outlineLevel="0" collapsed="false">
      <c r="A27" s="59" t="s">
        <v>340</v>
      </c>
    </row>
    <row r="28" customFormat="false" ht="15.75" hidden="false" customHeight="true" outlineLevel="0" collapsed="false">
      <c r="A28" s="59" t="s">
        <v>341</v>
      </c>
    </row>
    <row r="29" customFormat="false" ht="15.75" hidden="false" customHeight="true" outlineLevel="0" collapsed="false">
      <c r="A29" s="59" t="s">
        <v>342</v>
      </c>
    </row>
    <row r="30" customFormat="false" ht="15.75" hidden="false" customHeight="true" outlineLevel="0" collapsed="false">
      <c r="A30" s="59" t="s">
        <v>343</v>
      </c>
    </row>
    <row r="31" customFormat="false" ht="15.75" hidden="false" customHeight="true" outlineLevel="0" collapsed="false">
      <c r="A31" s="59" t="s">
        <v>344</v>
      </c>
    </row>
    <row r="32" customFormat="false" ht="15.75" hidden="false" customHeight="true" outlineLevel="0" collapsed="false">
      <c r="A32" s="59" t="s">
        <v>345</v>
      </c>
    </row>
    <row r="33" customFormat="false" ht="15.75" hidden="false" customHeight="true" outlineLevel="0" collapsed="false">
      <c r="A33" s="59" t="s">
        <v>331</v>
      </c>
    </row>
    <row r="34" customFormat="false" ht="15.75" hidden="false" customHeight="true" outlineLevel="0" collapsed="false">
      <c r="A34" s="58" t="s">
        <v>346</v>
      </c>
    </row>
    <row r="35" customFormat="false" ht="15.75" hidden="false" customHeight="true" outlineLevel="0" collapsed="false">
      <c r="A35" s="59" t="s">
        <v>347</v>
      </c>
    </row>
    <row r="36" customFormat="false" ht="15.75" hidden="false" customHeight="true" outlineLevel="0" collapsed="false">
      <c r="A36" s="59" t="s">
        <v>348</v>
      </c>
    </row>
    <row r="37" customFormat="false" ht="15.75" hidden="false" customHeight="true" outlineLevel="0" collapsed="false">
      <c r="A37" s="59" t="s">
        <v>349</v>
      </c>
    </row>
    <row r="38" customFormat="false" ht="15.75" hidden="false" customHeight="true" outlineLevel="0" collapsed="false">
      <c r="A38" s="59" t="s">
        <v>350</v>
      </c>
    </row>
    <row r="39" customFormat="false" ht="15.75" hidden="false" customHeight="true" outlineLevel="0" collapsed="false">
      <c r="A39" s="59" t="s">
        <v>351</v>
      </c>
    </row>
    <row r="40" customFormat="false" ht="15.75" hidden="false" customHeight="true" outlineLevel="0" collapsed="false">
      <c r="A40" s="59" t="s">
        <v>331</v>
      </c>
    </row>
    <row r="41" customFormat="false" ht="15.75" hidden="false" customHeight="true" outlineLevel="0" collapsed="false">
      <c r="A41" s="58" t="s">
        <v>352</v>
      </c>
    </row>
    <row r="42" customFormat="false" ht="15.75" hidden="false" customHeight="true" outlineLevel="0" collapsed="false">
      <c r="A42" s="59" t="s">
        <v>353</v>
      </c>
    </row>
    <row r="43" customFormat="false" ht="15.75" hidden="false" customHeight="true" outlineLevel="0" collapsed="false">
      <c r="A43" s="58" t="s">
        <v>354</v>
      </c>
    </row>
    <row r="44" customFormat="false" ht="15.75" hidden="false" customHeight="true" outlineLevel="0" collapsed="false">
      <c r="A44" s="59" t="s">
        <v>355</v>
      </c>
    </row>
    <row r="45" customFormat="false" ht="15.75" hidden="false" customHeight="true" outlineLevel="0" collapsed="false">
      <c r="A45" s="59" t="s">
        <v>356</v>
      </c>
    </row>
    <row r="46" customFormat="false" ht="15.75" hidden="false" customHeight="true" outlineLevel="0" collapsed="false">
      <c r="A46" s="59" t="s">
        <v>357</v>
      </c>
    </row>
    <row r="47" customFormat="false" ht="15.75" hidden="false" customHeight="true" outlineLevel="0" collapsed="false">
      <c r="A47" s="59" t="s">
        <v>358</v>
      </c>
    </row>
    <row r="48" customFormat="false" ht="15.75" hidden="false" customHeight="true" outlineLevel="0" collapsed="false">
      <c r="A48" s="59" t="s">
        <v>359</v>
      </c>
    </row>
    <row r="49" customFormat="false" ht="15.75" hidden="false" customHeight="true" outlineLevel="0" collapsed="false">
      <c r="A49" s="59" t="s">
        <v>360</v>
      </c>
    </row>
    <row r="50" customFormat="false" ht="15.75" hidden="false" customHeight="true" outlineLevel="0" collapsed="false">
      <c r="A50" s="59" t="s">
        <v>361</v>
      </c>
    </row>
    <row r="51" customFormat="false" ht="15.75" hidden="false" customHeight="true" outlineLevel="0" collapsed="false">
      <c r="A51" s="59" t="s">
        <v>362</v>
      </c>
    </row>
    <row r="52" customFormat="false" ht="15.75" hidden="false" customHeight="true" outlineLevel="0" collapsed="false">
      <c r="A52" s="58" t="s">
        <v>363</v>
      </c>
    </row>
    <row r="53" customFormat="false" ht="15.75" hidden="false" customHeight="true" outlineLevel="0" collapsed="false">
      <c r="A53" s="59" t="s">
        <v>364</v>
      </c>
    </row>
    <row r="54" customFormat="false" ht="15.75" hidden="false" customHeight="true" outlineLevel="0" collapsed="false">
      <c r="A54" s="59" t="s">
        <v>365</v>
      </c>
    </row>
    <row r="55" customFormat="false" ht="15.75" hidden="false" customHeight="true" outlineLevel="0" collapsed="false">
      <c r="A55" s="59" t="s">
        <v>366</v>
      </c>
    </row>
    <row r="56" customFormat="false" ht="15.75" hidden="false" customHeight="true" outlineLevel="0" collapsed="false">
      <c r="A56" s="59" t="s">
        <v>367</v>
      </c>
    </row>
    <row r="57" customFormat="false" ht="15.75" hidden="false" customHeight="true" outlineLevel="0" collapsed="false">
      <c r="A57" s="59" t="s">
        <v>345</v>
      </c>
    </row>
    <row r="58" customFormat="false" ht="15.75" hidden="false" customHeight="true" outlineLevel="0" collapsed="false">
      <c r="A58" s="59" t="s">
        <v>331</v>
      </c>
    </row>
    <row r="59" customFormat="false" ht="15.75" hidden="false" customHeight="true" outlineLevel="0" collapsed="false">
      <c r="A59" s="60" t="s">
        <v>368</v>
      </c>
    </row>
    <row r="60" customFormat="false" ht="15.75" hidden="false" customHeight="true" outlineLevel="0" collapsed="false">
      <c r="A60" s="56"/>
    </row>
    <row r="61" customFormat="false" ht="15.75" hidden="false" customHeight="true" outlineLevel="0" collapsed="false">
      <c r="A61" s="54" t="s">
        <v>369</v>
      </c>
    </row>
    <row r="62" customFormat="false" ht="15.75" hidden="false" customHeight="true" outlineLevel="0" collapsed="false">
      <c r="A62" s="55" t="s">
        <v>370</v>
      </c>
    </row>
    <row r="63" customFormat="false" ht="15.75" hidden="false" customHeight="true" outlineLevel="0" collapsed="false">
      <c r="A63" s="55" t="s">
        <v>371</v>
      </c>
    </row>
    <row r="64" customFormat="false" ht="15.75" hidden="false" customHeight="true" outlineLevel="0" collapsed="false">
      <c r="A64" s="55" t="s">
        <v>372</v>
      </c>
    </row>
    <row r="65" customFormat="false" ht="15.75" hidden="false" customHeight="true" outlineLevel="0" collapsed="false">
      <c r="A65" s="55" t="s">
        <v>373</v>
      </c>
    </row>
    <row r="66" customFormat="false" ht="15.75" hidden="false" customHeight="true" outlineLevel="0" collapsed="false">
      <c r="A66" s="55" t="s">
        <v>374</v>
      </c>
    </row>
    <row r="67" customFormat="false" ht="15.75" hidden="false" customHeight="true" outlineLevel="0" collapsed="false">
      <c r="A67" s="55" t="s">
        <v>375</v>
      </c>
    </row>
    <row r="68" customFormat="false" ht="15.75" hidden="false" customHeight="true" outlineLevel="0" collapsed="false">
      <c r="A68" s="55" t="s">
        <v>376</v>
      </c>
    </row>
    <row r="69" customFormat="false" ht="15.75" hidden="false" customHeight="true" outlineLevel="0" collapsed="false">
      <c r="A69" s="55" t="s">
        <v>377</v>
      </c>
    </row>
    <row r="70" customFormat="false" ht="15.75" hidden="false" customHeight="true" outlineLevel="0" collapsed="false">
      <c r="A70" s="56"/>
    </row>
    <row r="71" customFormat="false" ht="15.75" hidden="false" customHeight="true" outlineLevel="0" collapsed="false">
      <c r="A71" s="54" t="s">
        <v>378</v>
      </c>
    </row>
    <row r="72" customFormat="false" ht="15.75" hidden="false" customHeight="true" outlineLevel="0" collapsed="false">
      <c r="A72" s="61" t="s">
        <v>379</v>
      </c>
    </row>
    <row r="73" customFormat="false" ht="15.75" hidden="false" customHeight="true" outlineLevel="0" collapsed="false">
      <c r="A73" s="55" t="s">
        <v>380</v>
      </c>
    </row>
    <row r="74" customFormat="false" ht="15.75" hidden="false" customHeight="true" outlineLevel="0" collapsed="false">
      <c r="A74" s="61" t="s">
        <v>381</v>
      </c>
    </row>
    <row r="75" customFormat="false" ht="15.75" hidden="false" customHeight="true" outlineLevel="0" collapsed="false">
      <c r="A75" s="56"/>
    </row>
    <row r="76" customFormat="false" ht="15.75" hidden="false" customHeight="true" outlineLevel="0" collapsed="false">
      <c r="A76" s="54" t="s">
        <v>382</v>
      </c>
    </row>
    <row r="77" customFormat="false" ht="15.75" hidden="false" customHeight="true" outlineLevel="0" collapsed="false">
      <c r="A77" s="55" t="s">
        <v>383</v>
      </c>
    </row>
    <row r="78" customFormat="false" ht="15.75" hidden="false" customHeight="true" outlineLevel="0" collapsed="false">
      <c r="A78" s="55" t="s">
        <v>384</v>
      </c>
    </row>
    <row r="79" customFormat="false" ht="15.75" hidden="false" customHeight="true" outlineLevel="0" collapsed="false">
      <c r="A79" s="55" t="s">
        <v>385</v>
      </c>
    </row>
    <row r="80" customFormat="false" ht="15.75" hidden="false" customHeight="true" outlineLevel="0" collapsed="false">
      <c r="A80" s="56"/>
    </row>
    <row r="81" customFormat="false" ht="15.75" hidden="false" customHeight="true" outlineLevel="0" collapsed="false">
      <c r="A81" s="54" t="s">
        <v>386</v>
      </c>
    </row>
    <row r="82" customFormat="false" ht="15.75" hidden="false" customHeight="true" outlineLevel="0" collapsed="false">
      <c r="A82" s="55" t="s">
        <v>387</v>
      </c>
    </row>
    <row r="83" customFormat="false" ht="15.75" hidden="false" customHeight="true" outlineLevel="0" collapsed="false">
      <c r="A83" s="55" t="s">
        <v>388</v>
      </c>
    </row>
    <row r="84" customFormat="false" ht="15.75" hidden="false" customHeight="true" outlineLevel="0" collapsed="false">
      <c r="A84" s="55" t="s">
        <v>389</v>
      </c>
    </row>
    <row r="85" customFormat="false" ht="15.75" hidden="false" customHeight="true" outlineLevel="0" collapsed="false">
      <c r="A85" s="55" t="s">
        <v>390</v>
      </c>
    </row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</sheetData>
  <mergeCells count="1">
    <mergeCell ref="A1:A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2026-05-20T14:23:31Z</dcterms:created>
  <dc:creator>openpyxl</dc:creator>
  <dc:description/>
  <dc:language>en-US</dc:language>
  <cp:lastModifiedBy/>
  <dcterms:modified xsi:type="dcterms:W3CDTF">2026-05-20T14:24:11Z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